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Responses" sheetId="2" r:id="rId5"/>
    <sheet state="visible" name="Analytics" sheetId="3" r:id="rId6"/>
    <sheet state="visible" name="Hot Leads" sheetId="4" r:id="rId7"/>
    <sheet state="visible" name="Diaspora" sheetId="5" r:id="rId8"/>
  </sheets>
  <definedNames/>
  <calcPr/>
</workbook>
</file>

<file path=xl/sharedStrings.xml><?xml version="1.0" encoding="utf-8"?>
<sst xmlns="http://schemas.openxmlformats.org/spreadsheetml/2006/main" count="2023" uniqueCount="629">
  <si>
    <t>Date de soumission</t>
  </si>
  <si>
    <t>ID Unique</t>
  </si>
  <si>
    <t>Score Lead (0-100)</t>
  </si>
  <si>
    <t>Segment Client</t>
  </si>
  <si>
    <t>Statut</t>
  </si>
  <si>
    <t>Code Promo</t>
  </si>
  <si>
    <t>Statut Code</t>
  </si>
  <si>
    <t>Valeur (FCFA)</t>
  </si>
  <si>
    <t>Date Expiration</t>
  </si>
  <si>
    <t>Code Utilisé</t>
  </si>
  <si>
    <t>Date Utilisation</t>
  </si>
  <si>
    <t>Type Utilisateur</t>
  </si>
  <si>
    <t>Quartier/Zone</t>
  </si>
  <si>
    <t>Pays (Diaspora)</t>
  </si>
  <si>
    <t>Tranche d'âge</t>
  </si>
  <si>
    <t>Taille du foyer</t>
  </si>
  <si>
    <t>Situation professionnelle</t>
  </si>
  <si>
    <t>Lieux d'achat habituels</t>
  </si>
  <si>
    <t>Fréquence courses</t>
  </si>
  <si>
    <t>Budget hebdomadaire</t>
  </si>
  <si>
    <t>Défis rencontrés</t>
  </si>
  <si>
    <t>Plats sénégalais préférés</t>
  </si>
  <si>
    <t>Fréquence cuisine maison</t>
  </si>
  <si>
    <t>Qui cuisine</t>
  </si>
  <si>
    <t>Délai commande préféré</t>
  </si>
  <si>
    <t>Intérêt commande auto</t>
  </si>
  <si>
    <t>Avantages anticipés</t>
  </si>
  <si>
    <t>Délai idéal</t>
  </si>
  <si>
    <t>Intérêt (1-5)</t>
  </si>
  <si>
    <t>Aspects attractifs</t>
  </si>
  <si>
    <t>Service préféré</t>
  </si>
  <si>
    <t>Prix min acceptable</t>
  </si>
  <si>
    <t>Prix max acceptable</t>
  </si>
  <si>
    <t>Prix livraison max</t>
  </si>
  <si>
    <t>Fréquence utilisation prévue</t>
  </si>
  <si>
    <t>Panier moyen estimé</t>
  </si>
  <si>
    <t>Suggestions générales</t>
  </si>
  <si>
    <t>Inquiétudes</t>
  </si>
  <si>
    <t>Zones famille Sénégal</t>
  </si>
  <si>
    <t>Fonctionnalités essentielles</t>
  </si>
  <si>
    <t>Types produits souhaités</t>
  </si>
  <si>
    <t>Préférence organisation commande</t>
  </si>
  <si>
    <t>Frais service acceptable</t>
  </si>
  <si>
    <t>Fréquence utilisation diaspora</t>
  </si>
  <si>
    <t>Nombre de foyers à aider</t>
  </si>
  <si>
    <t>Téléphone</t>
  </si>
  <si>
    <t>Email</t>
  </si>
  <si>
    <t>Prénom</t>
  </si>
  <si>
    <t>Beta testeur</t>
  </si>
  <si>
    <t>Besoins courses alimentaires (Diaspora)</t>
  </si>
  <si>
    <t>Défis envoi courses/repas (Diaspora)</t>
  </si>
  <si>
    <t>Panier surprise idéal (Diaspora)</t>
  </si>
  <si>
    <t>Recommandation (Diaspora)</t>
  </si>
  <si>
    <t>Services complémentaires souhaités (Local)</t>
  </si>
  <si>
    <t>Autres services détail (Local)</t>
  </si>
  <si>
    <t>Recommandation (Local)</t>
  </si>
  <si>
    <t>Semaine</t>
  </si>
  <si>
    <t>Mois</t>
  </si>
  <si>
    <t>Services Souhaites</t>
  </si>
  <si>
    <t>Recommandation Locale</t>
  </si>
  <si>
    <t>Promo Code</t>
  </si>
  <si>
    <t>Date Added</t>
  </si>
  <si>
    <t>Week Number</t>
  </si>
  <si>
    <t>Month</t>
  </si>
  <si>
    <t>LKT1757285144378</t>
  </si>
  <si>
    <t>Warm Lead 🌡️</t>
  </si>
  <si>
    <t>Nouveau</t>
  </si>
  <si>
    <t>LK776499J8</t>
  </si>
  <si>
    <t>active</t>
  </si>
  <si>
    <t>2026-03-06T22:45:41.262Z</t>
  </si>
  <si>
    <t>etranger</t>
  </si>
  <si>
    <t>Diaspora</t>
  </si>
  <si>
    <t>europe</t>
  </si>
  <si>
    <t>36-45</t>
  </si>
  <si>
    <t>7+</t>
  </si>
  <si>
    <t>salarie</t>
  </si>
  <si>
    <t>N/A</t>
  </si>
  <si>
    <t>liberte-hlm</t>
  </si>
  <si>
    <t>[Ljava.lang.Object;@27e241b0</t>
  </si>
  <si>
    <t>produits_necessite</t>
  </si>
  <si>
    <t>je_choisis</t>
  </si>
  <si>
    <t>fixe</t>
  </si>
  <si>
    <t>hebdo</t>
  </si>
  <si>
    <t>kbijou31@gmail.com</t>
  </si>
  <si>
    <t>Bijou</t>
  </si>
  <si>
    <t>confiance_qualite</t>
  </si>
  <si>
    <t>certainement</t>
  </si>
  <si>
    <t>September 2025</t>
  </si>
  <si>
    <t>LKT1758474926780</t>
  </si>
  <si>
    <t>LK8532J0SS</t>
  </si>
  <si>
    <t>2026-03-20T17:15:21.504Z</t>
  </si>
  <si>
    <t>senegal</t>
  </si>
  <si>
    <t>yoff</t>
  </si>
  <si>
    <t>18-25</t>
  </si>
  <si>
    <t>marche_traditionnel, supermarche, boutique_quartier</t>
  </si>
  <si>
    <t>quotidien</t>
  </si>
  <si>
    <t>&lt;10000</t>
  </si>
  <si>
    <t>temps, prix</t>
  </si>
  <si>
    <t>yassa, mafe, thiou, domoda, caldou, ceebujenblanc, firire</t>
  </si>
  <si>
    <t>aide</t>
  </si>
  <si>
    <t>flexible</t>
  </si>
  <si>
    <t>non</t>
  </si>
  <si>
    <t>reduction, livraison_gratuite, priorite</t>
  </si>
  <si>
    <t>2h</t>
  </si>
  <si>
    <t>qualite, prix_transparents, hub_proximite</t>
  </si>
  <si>
    <t>mixte</t>
  </si>
  <si>
    <t>occasionnel</t>
  </si>
  <si>
    <t>7500-10000</t>
  </si>
  <si>
    <t>✅</t>
  </si>
  <si>
    <t>fraicheur, delai_24h, prix, choix</t>
  </si>
  <si>
    <t>ndiayemamediarra093@gmail.com</t>
  </si>
  <si>
    <t>Sakura</t>
  </si>
  <si>
    <t>resto_partenaire, cosmetiques</t>
  </si>
  <si>
    <t>LKT1758475087325</t>
  </si>
  <si>
    <t>Cold Lead ❄️</t>
  </si>
  <si>
    <t>LK0003ZSUP</t>
  </si>
  <si>
    <t>2026-03-20T17:18:03.219Z</t>
  </si>
  <si>
    <t>26-35</t>
  </si>
  <si>
    <t>hors-dakar</t>
  </si>
  <si>
    <t>confirmation_sms, photos_produits, suivi_temps_reel, service_client</t>
  </si>
  <si>
    <t>produits_necessite, produits_locaux, articles_enfants</t>
  </si>
  <si>
    <t>mensuel</t>
  </si>
  <si>
    <t>Ndeye Awa</t>
  </si>
  <si>
    <t>qualite_fraicheur, fiabilite_livraison, delais_longs</t>
  </si>
  <si>
    <t>LKT1758475465909</t>
  </si>
  <si>
    <t>Hot Lead 🔥</t>
  </si>
  <si>
    <t>LK77529G2B</t>
  </si>
  <si>
    <t>2026-03-20T17:24:22.506Z</t>
  </si>
  <si>
    <t>parcelles</t>
  </si>
  <si>
    <t>etudiant</t>
  </si>
  <si>
    <t>marche_traditionnel, supermarche, boutique_quartier, vendeur_ambulant, online</t>
  </si>
  <si>
    <t>foule</t>
  </si>
  <si>
    <t>thieboudienne</t>
  </si>
  <si>
    <t>partage</t>
  </si>
  <si>
    <t>oui_hebdo</t>
  </si>
  <si>
    <t>livraison_gratuite</t>
  </si>
  <si>
    <t>gain_temps, qualite, prix_transparents</t>
  </si>
  <si>
    <t>livraison</t>
  </si>
  <si>
    <t>3000-5000</t>
  </si>
  <si>
    <t>prix, aucune</t>
  </si>
  <si>
    <t>pharmacie, boulangerie</t>
  </si>
  <si>
    <t>LKT1758475869012</t>
  </si>
  <si>
    <t>LK50582L1C</t>
  </si>
  <si>
    <t>2026-03-20T17:31:05.668Z</t>
  </si>
  <si>
    <t>almadies</t>
  </si>
  <si>
    <t>bimensuel</t>
  </si>
  <si>
    <t>35000-50000</t>
  </si>
  <si>
    <t>temps, qualite, disponibilite</t>
  </si>
  <si>
    <t>2-3fois</t>
  </si>
  <si>
    <t>48h</t>
  </si>
  <si>
    <t>oui_mensuel</t>
  </si>
  <si>
    <t>reduction, creneau, points</t>
  </si>
  <si>
    <t>gain_temps, commande_avance</t>
  </si>
  <si>
    <t>15000+</t>
  </si>
  <si>
    <t>fraicheur, choix, paiement</t>
  </si>
  <si>
    <t>Lune</t>
  </si>
  <si>
    <t>pharmacie</t>
  </si>
  <si>
    <t>LKT1758475879408</t>
  </si>
  <si>
    <t>LK5947YHB9</t>
  </si>
  <si>
    <t>2026-03-20T17:31:16.449Z</t>
  </si>
  <si>
    <t>entrepreneur</t>
  </si>
  <si>
    <t>boutique_quartier</t>
  </si>
  <si>
    <t>temps</t>
  </si>
  <si>
    <t>moi</t>
  </si>
  <si>
    <t>oui_personnalise</t>
  </si>
  <si>
    <t>reduction, priorite</t>
  </si>
  <si>
    <t>peu_importe</t>
  </si>
  <si>
    <t>packs_recettes</t>
  </si>
  <si>
    <t>variable</t>
  </si>
  <si>
    <t>1-2fois</t>
  </si>
  <si>
    <t>aucune</t>
  </si>
  <si>
    <t>amy947538@gmail.com</t>
  </si>
  <si>
    <t xml:space="preserve">Amy Badara Ndiaye </t>
  </si>
  <si>
    <t>resto_partenaire</t>
  </si>
  <si>
    <t>LKT1758476689857</t>
  </si>
  <si>
    <t>LK287919DD</t>
  </si>
  <si>
    <t>2026-03-20T17:44:46.158Z</t>
  </si>
  <si>
    <t>autre</t>
  </si>
  <si>
    <t>20000-35000</t>
  </si>
  <si>
    <t>prix</t>
  </si>
  <si>
    <t>yassa</t>
  </si>
  <si>
    <t>72h</t>
  </si>
  <si>
    <t>oui_bi_hebdo</t>
  </si>
  <si>
    <t>priorite</t>
  </si>
  <si>
    <t>meme_jour</t>
  </si>
  <si>
    <t>3-4fois</t>
  </si>
  <si>
    <t>delai_24h</t>
  </si>
  <si>
    <t>mouhasow252@gmail.com</t>
  </si>
  <si>
    <t xml:space="preserve">Mamadou Moustapha Sow </t>
  </si>
  <si>
    <t>produits_menagers</t>
  </si>
  <si>
    <t>probablement</t>
  </si>
  <si>
    <t>LKT1758477307326</t>
  </si>
  <si>
    <t>LK60561LPL</t>
  </si>
  <si>
    <t>2026-03-20T17:55:04.651Z</t>
  </si>
  <si>
    <t>confirmation_sms, message_personnel, suivi_temps_reel, service_client</t>
  </si>
  <si>
    <t>packs_recettes, produits_necessite, paniers_surprise</t>
  </si>
  <si>
    <t>consultation_proches</t>
  </si>
  <si>
    <t>qualite_fraicheur, fiabilite_livraison</t>
  </si>
  <si>
    <t>LKT1758478238948</t>
  </si>
  <si>
    <t>LK8976MXSI</t>
  </si>
  <si>
    <t>2026-03-20T18:10:33.157Z</t>
  </si>
  <si>
    <t>supermarche</t>
  </si>
  <si>
    <t>10000-20000</t>
  </si>
  <si>
    <t>transport</t>
  </si>
  <si>
    <t>restaurant</t>
  </si>
  <si>
    <t>24h</t>
  </si>
  <si>
    <t>reduction, livraison_gratuite, personnalisation</t>
  </si>
  <si>
    <t>gain_temps</t>
  </si>
  <si>
    <t>10000-15000</t>
  </si>
  <si>
    <t>fraicheur</t>
  </si>
  <si>
    <t>smondiaye@gmail.com</t>
  </si>
  <si>
    <t>Seydina</t>
  </si>
  <si>
    <t>resto_partenaire, cosmetiques, produits_menagers, boulangerie</t>
  </si>
  <si>
    <t>LKT1758479062790</t>
  </si>
  <si>
    <t>LK9128EODG</t>
  </si>
  <si>
    <t>2026-03-20T18:24:19.523Z</t>
  </si>
  <si>
    <t>46-55</t>
  </si>
  <si>
    <t>parcelles-grand-dakar</t>
  </si>
  <si>
    <t>Panier mensuel des denrées de base, première nécessité avec en plus poulet viande pour tenir le mois</t>
  </si>
  <si>
    <t>qualite_fraicheur, fiabilite_livraison, cout_total</t>
  </si>
  <si>
    <t>LKT1758479098549</t>
  </si>
  <si>
    <t>LK7393LMUS</t>
  </si>
  <si>
    <t>2026-03-20T18:24:55.927Z</t>
  </si>
  <si>
    <t>plateau-almadies, parcelles-grand-dakar</t>
  </si>
  <si>
    <t>confirmation_sms, photos_produits, message_personnel</t>
  </si>
  <si>
    <t>produits_necessite, produits_locaux</t>
  </si>
  <si>
    <t>nanoufall@yahoo.fr</t>
  </si>
  <si>
    <t>Marème</t>
  </si>
  <si>
    <t xml:space="preserve">Un pack de produits </t>
  </si>
  <si>
    <t>qualite_fraicheur</t>
  </si>
  <si>
    <t>Poisson, viande, légumes, fruits etc</t>
  </si>
  <si>
    <t>LKT1758479386197</t>
  </si>
  <si>
    <t>LK39434ELZ</t>
  </si>
  <si>
    <t>2026-03-20T18:29:43.416Z</t>
  </si>
  <si>
    <t>guediawaye</t>
  </si>
  <si>
    <t>confirmation_sms, photos_produits, suivi_temps_reel</t>
  </si>
  <si>
    <t>proches_choisissent</t>
  </si>
  <si>
    <t>coulibalykhady1510@gmail.com</t>
  </si>
  <si>
    <t>Khady</t>
  </si>
  <si>
    <t>qualite_fraicheur, fiabilite_livraison, choix_panier</t>
  </si>
  <si>
    <t>Poissons , viande, riz</t>
  </si>
  <si>
    <t>LKT1758479562861</t>
  </si>
  <si>
    <t>LK85989UXL</t>
  </si>
  <si>
    <t>2026-03-20T18:32:39.823Z</t>
  </si>
  <si>
    <t>qualite_fraicheur, fiabilite_livraison, choix_panier, delais_longs</t>
  </si>
  <si>
    <t>LKT1758480003305</t>
  </si>
  <si>
    <t>LK0803ALQ4</t>
  </si>
  <si>
    <t>2026-03-20T18:39:59.686Z</t>
  </si>
  <si>
    <t xml:space="preserve">Faire des packs surprises </t>
  </si>
  <si>
    <t>qualite_fraicheur, fiabilite_livraison, choix_panier, cout_total</t>
  </si>
  <si>
    <t xml:space="preserve">Poisson frais légumes fruits fruits et du riz ainsi que de la viande et quelques épices </t>
  </si>
  <si>
    <t>LKT1758480355749</t>
  </si>
  <si>
    <t>LK3239JDJ0</t>
  </si>
  <si>
    <t>2026-03-20T18:45:53.086Z</t>
  </si>
  <si>
    <t>point-e-fann</t>
  </si>
  <si>
    <t>confirmation_sms, suivi_temps_reel</t>
  </si>
  <si>
    <t>produits_necessite, paniers_surprise</t>
  </si>
  <si>
    <t>LKT1758480565229</t>
  </si>
  <si>
    <t>LK9653X4E4</t>
  </si>
  <si>
    <t>2026-03-20T18:49:22.641Z</t>
  </si>
  <si>
    <t>paniers_surprise, produits_locaux, articles_enfants</t>
  </si>
  <si>
    <t>5+</t>
  </si>
  <si>
    <t>mariacire.sng@gmail.com</t>
  </si>
  <si>
    <t>Mari</t>
  </si>
  <si>
    <t xml:space="preserve">Poisson, jus locaux </t>
  </si>
  <si>
    <t>LKT1758481462220</t>
  </si>
  <si>
    <t>LK8870N2Y3</t>
  </si>
  <si>
    <t>2026-03-20T19:04:19.577Z</t>
  </si>
  <si>
    <t>yoff-ngor</t>
  </si>
  <si>
    <t>photos_produits, suivi_temps_reel</t>
  </si>
  <si>
    <t>packs_recettes, produits_necessite, paniers_surprise, produits_locaux</t>
  </si>
  <si>
    <t>adjiaidatoure@gmail.com</t>
  </si>
  <si>
    <t>Adji</t>
  </si>
  <si>
    <t>fiabilite_livraison</t>
  </si>
  <si>
    <t>LKT1758482114882</t>
  </si>
  <si>
    <t>LK1616FWAC</t>
  </si>
  <si>
    <t>2026-03-20T19:15:11.612Z</t>
  </si>
  <si>
    <t>ceebujenblanc</t>
  </si>
  <si>
    <t>conjoint</t>
  </si>
  <si>
    <t>5000-7500</t>
  </si>
  <si>
    <t>fraicheur, prix</t>
  </si>
  <si>
    <t>LKT1758485966998</t>
  </si>
  <si>
    <t>LK6327K8VA</t>
  </si>
  <si>
    <t>2026-03-20T20:19:23.766Z</t>
  </si>
  <si>
    <t>hors_dakar</t>
  </si>
  <si>
    <t>56+</t>
  </si>
  <si>
    <t>retraite</t>
  </si>
  <si>
    <t>qualite, prix, disponibilite</t>
  </si>
  <si>
    <t>thieboudienne, yassa, mafe, thiou, supkanja, caldou, bassi</t>
  </si>
  <si>
    <t>prix_transparents, hub_proximite, commande_avance</t>
  </si>
  <si>
    <t>fraicheur, prix, choix</t>
  </si>
  <si>
    <t>produits_menagers, boulangerie</t>
  </si>
  <si>
    <t>LKT1758487156824</t>
  </si>
  <si>
    <t>LK0628XNQ8</t>
  </si>
  <si>
    <t>2026-03-20T20:39:13.954Z</t>
  </si>
  <si>
    <t>confirmation_sms, photos_produits</t>
  </si>
  <si>
    <t>fetes</t>
  </si>
  <si>
    <t>choix_panier</t>
  </si>
  <si>
    <t>LKT1758487299240</t>
  </si>
  <si>
    <t>LK9808VRN6</t>
  </si>
  <si>
    <t>2026-03-20T20:41:36.619Z</t>
  </si>
  <si>
    <t>mermoz-sacre-coeur</t>
  </si>
  <si>
    <t>paniers_surprise</t>
  </si>
  <si>
    <t>dykha2106@outlook.com</t>
  </si>
  <si>
    <t xml:space="preserve">Offrir un pack surprise </t>
  </si>
  <si>
    <t>qualite_fraicheur, fiabilite_livraison, cout_total, delais_longs</t>
  </si>
  <si>
    <t>Légumes frais, jus exotique et des fruits</t>
  </si>
  <si>
    <t>LKT1758487647475</t>
  </si>
  <si>
    <t>LK9294RXYX</t>
  </si>
  <si>
    <t>2026-03-20T20:47:24.195Z</t>
  </si>
  <si>
    <t>ouakam</t>
  </si>
  <si>
    <t>menagere</t>
  </si>
  <si>
    <t>prix, disponibilite</t>
  </si>
  <si>
    <t>thieboudienne, yassa, thiou, ceebujenblanc</t>
  </si>
  <si>
    <t>Fruits frais</t>
  </si>
  <si>
    <t>LKT1758487671555</t>
  </si>
  <si>
    <t>LK78964GI5</t>
  </si>
  <si>
    <t>2026-03-20T20:47:48.536Z</t>
  </si>
  <si>
    <t>confirmation_sms</t>
  </si>
  <si>
    <t>peut_etre</t>
  </si>
  <si>
    <t>LKT1758488923679</t>
  </si>
  <si>
    <t>LK309117Z4</t>
  </si>
  <si>
    <t>2026-03-20T21:08:39.919Z</t>
  </si>
  <si>
    <t>packs_recettes, produits_necessite, produits_locaux</t>
  </si>
  <si>
    <t>khndiaye000@gmail.com</t>
  </si>
  <si>
    <t xml:space="preserve">Khadijatou </t>
  </si>
  <si>
    <t>Jus locaux et les fruits</t>
  </si>
  <si>
    <t>LKT1758489831972</t>
  </si>
  <si>
    <t>LK0682MOJJ</t>
  </si>
  <si>
    <t>2026-03-20T21:23:47.813Z</t>
  </si>
  <si>
    <t>confirmation_sms, photos_produits, service_client</t>
  </si>
  <si>
    <t>LKT1758495571669</t>
  </si>
  <si>
    <t>LK6540KONC</t>
  </si>
  <si>
    <t>2026-03-20T22:59:28.673Z</t>
  </si>
  <si>
    <t>packs_recettes, paniers_surprise, produits_locaux</t>
  </si>
  <si>
    <t>papakebetiate@gmail.com</t>
  </si>
  <si>
    <t>Mamadou</t>
  </si>
  <si>
    <t>choix_panier, cout_total</t>
  </si>
  <si>
    <t>LKT1758500110363</t>
  </si>
  <si>
    <t>LK4934KIZ2</t>
  </si>
  <si>
    <t>2026-03-21T00:15:02.573Z</t>
  </si>
  <si>
    <t>online</t>
  </si>
  <si>
    <t>reduction</t>
  </si>
  <si>
    <t>qualite, prix_transparents</t>
  </si>
  <si>
    <t>click_collect</t>
  </si>
  <si>
    <t>&lt;3000</t>
  </si>
  <si>
    <t>@gmail.com</t>
  </si>
  <si>
    <t>Amicollè</t>
  </si>
  <si>
    <t>LKT1758500179220</t>
  </si>
  <si>
    <t>LK2597M6VX</t>
  </si>
  <si>
    <t>2026-03-21T00:16:14.350Z</t>
  </si>
  <si>
    <t>thieboudienne, yassa, mafe, thiou, domoda, caldou, ceebujenblanc</t>
  </si>
  <si>
    <t>gain_temps, packs_recettes, qualite</t>
  </si>
  <si>
    <t>hub_direct</t>
  </si>
  <si>
    <t>khadija@20</t>
  </si>
  <si>
    <t>Khadija faye</t>
  </si>
  <si>
    <t>resto_partenaire, pharmacie</t>
  </si>
  <si>
    <t>LKT1758504989432</t>
  </si>
  <si>
    <t>LK40727K04</t>
  </si>
  <si>
    <t>2026-03-21T01:36:24.315Z</t>
  </si>
  <si>
    <t>yassa, mafe, domoda, ceebujenblanc, pastels, fataya</t>
  </si>
  <si>
    <t>4-5fois</t>
  </si>
  <si>
    <t>arameba47@gmail.com</t>
  </si>
  <si>
    <t>Arame</t>
  </si>
  <si>
    <t>cosmetiques</t>
  </si>
  <si>
    <t>LKT1758507772127</t>
  </si>
  <si>
    <t>LK7176ZCRD</t>
  </si>
  <si>
    <t>2026-03-21T02:22:47.791Z</t>
  </si>
  <si>
    <t>qualite, prix, disponibilite, foule</t>
  </si>
  <si>
    <t>thieboudienne, yassa, mafe, thiou, domoda, supkanja, caldou</t>
  </si>
  <si>
    <t>packs_recettes, qualite, prix_transparents</t>
  </si>
  <si>
    <t>fraicheur, delai_24h, livraison, paiement</t>
  </si>
  <si>
    <t>fatimataboudiwa@gmail.com</t>
  </si>
  <si>
    <t>produits_menagers, pharmacie, boulangerie, autre</t>
  </si>
  <si>
    <t>LKT1758522542729</t>
  </si>
  <si>
    <t>LK60263FZ2</t>
  </si>
  <si>
    <t>2026-03-21T06:28:35.324Z</t>
  </si>
  <si>
    <t>confirmation_sms, photos_produits, message_personnel, suivi_temps_reel, service_client</t>
  </si>
  <si>
    <t>paniers_surprise, articles_enfants</t>
  </si>
  <si>
    <t>seyealassanelaye@gmail.com</t>
  </si>
  <si>
    <t>Alassane</t>
  </si>
  <si>
    <t>qualite_fraicheur, fiabilite_livraison, choix_panier, cout_total, delais_longs</t>
  </si>
  <si>
    <t>Pas d’idée particulière, je me baserai sur les propositions de pack surprise
SUGGESTION : Proposer un coté panier solidaire et cibler certains familles qui n’arrivent pas à s’en sortir pour manger ou autre. Et je pense qu’il y’aura pas mal de volontaires qui voudront juste faites des dons.</t>
  </si>
  <si>
    <t>LKT1758526677708</t>
  </si>
  <si>
    <t>LK8080I8OV</t>
  </si>
  <si>
    <t>2026-03-21T07:37:53.775Z</t>
  </si>
  <si>
    <t>marche_traditionnel, supermarche</t>
  </si>
  <si>
    <t>75000+</t>
  </si>
  <si>
    <t>qualite</t>
  </si>
  <si>
    <t>supkanja, caldou</t>
  </si>
  <si>
    <t>weekend</t>
  </si>
  <si>
    <t>personnalisation</t>
  </si>
  <si>
    <t>Elka</t>
  </si>
  <si>
    <t>LKT1758531056072</t>
  </si>
  <si>
    <t>LK2337ZAQD</t>
  </si>
  <si>
    <t>2026-03-21T08:50:52.210Z</t>
  </si>
  <si>
    <t>temps, foule</t>
  </si>
  <si>
    <t>thieboudienne, domoda, supkanja, caldou, bassi, ceebujenblanc, firire</t>
  </si>
  <si>
    <t>reduction, livraison_gratuite, creneau</t>
  </si>
  <si>
    <t>fraicheur, prix, choix, paiement</t>
  </si>
  <si>
    <t>boulangerie</t>
  </si>
  <si>
    <t>LKT1758549271385</t>
  </si>
  <si>
    <t>LK6668MKON</t>
  </si>
  <si>
    <t>2026-03-21T13:54:27.063Z</t>
  </si>
  <si>
    <t>confirmation_sms, message_personnel, service_client</t>
  </si>
  <si>
    <t>produits_necessite, paniers_surprise, produits_locaux</t>
  </si>
  <si>
    <t>yassdia688@gmail.com</t>
  </si>
  <si>
    <t>Yacine</t>
  </si>
  <si>
    <t>qualite_fraicheur, choix_panier, cout_total</t>
  </si>
  <si>
    <t>Fruits ,fromage , charcuterie , cafe , thé , biscuits pour le goûter , confiture , chocolat , beurre</t>
  </si>
  <si>
    <t>LKT1758550227382</t>
  </si>
  <si>
    <t>LK87250TZW</t>
  </si>
  <si>
    <t>2026-03-21T14:10:24.147Z</t>
  </si>
  <si>
    <t>thieboudienne, yassa, thiou, supkanja, bassi, firire, fataya</t>
  </si>
  <si>
    <t>gain_temps, qualite, commande_avance</t>
  </si>
  <si>
    <t>seydounly2002@yahoo.fr</t>
  </si>
  <si>
    <t xml:space="preserve">Seydou </t>
  </si>
  <si>
    <t>LKT1758557516748</t>
  </si>
  <si>
    <t>LK5545F02O</t>
  </si>
  <si>
    <t>2026-03-21T16:11:54.337Z</t>
  </si>
  <si>
    <t>confirmation_sms, photos_produits, message_personnel, service_client</t>
  </si>
  <si>
    <t>paniers_surprise, produits_locaux</t>
  </si>
  <si>
    <t xml:space="preserve">Produits exotiques, denrées alimentaires </t>
  </si>
  <si>
    <t>LKT1758557734134</t>
  </si>
  <si>
    <t>LK49030VNJ</t>
  </si>
  <si>
    <t>2026-03-21T16:15:31.337Z</t>
  </si>
  <si>
    <t>supermarche, boutique_quartier</t>
  </si>
  <si>
    <t>50000-75000</t>
  </si>
  <si>
    <t>transport, prix, foule</t>
  </si>
  <si>
    <t>thieboudienne, yassa, ceebujenblanc, firire, pastels, fataya</t>
  </si>
  <si>
    <t>livraison_gratuite, priorite</t>
  </si>
  <si>
    <t>Mame awa</t>
  </si>
  <si>
    <t>LKT1758561014886</t>
  </si>
  <si>
    <t>LK6481UH3G</t>
  </si>
  <si>
    <t>2026-03-21T17:10:11.008Z</t>
  </si>
  <si>
    <t>mermoz-sacre-coeur, ouakam</t>
  </si>
  <si>
    <t>packs_recettes, produits_locaux</t>
  </si>
  <si>
    <t>barbosaawa@gmail.com</t>
  </si>
  <si>
    <t>Awa</t>
  </si>
  <si>
    <t>LKT1758561374562</t>
  </si>
  <si>
    <t>LK1403YOOT</t>
  </si>
  <si>
    <t>2026-03-21T17:16:11.458Z</t>
  </si>
  <si>
    <t>plateau-almadies</t>
  </si>
  <si>
    <t>photos_produits, message_personnel, suivi_temps_reel, service_client</t>
  </si>
  <si>
    <t xml:space="preserve">Ousmane </t>
  </si>
  <si>
    <t>LKT1758563534105</t>
  </si>
  <si>
    <t>LK1769SJFM</t>
  </si>
  <si>
    <t>2026-03-21T17:52:10.987Z</t>
  </si>
  <si>
    <t>fraicheur, paiement</t>
  </si>
  <si>
    <t>gueyemadeleine6@gmail.com</t>
  </si>
  <si>
    <t xml:space="preserve">Madeleine </t>
  </si>
  <si>
    <t>LKT1758563783381</t>
  </si>
  <si>
    <t>LK4663EMV1</t>
  </si>
  <si>
    <t>2026-03-21T17:56:20.525Z</t>
  </si>
  <si>
    <t>LKT1758563809490</t>
  </si>
  <si>
    <t>LK2275NWSO</t>
  </si>
  <si>
    <t>2026-03-21T17:56:46.396Z</t>
  </si>
  <si>
    <t>keur-massar</t>
  </si>
  <si>
    <t>packs_recettes, produits_necessite</t>
  </si>
  <si>
    <t>fatimgueye0411@gmail.com</t>
  </si>
  <si>
    <t>𝓕𝓪𝓽𝓲𝓶🥇❤️</t>
  </si>
  <si>
    <t>qualite_fraicheur, choix_panier</t>
  </si>
  <si>
    <t>LKT1758565714562</t>
  </si>
  <si>
    <t>LK3056ZLP4</t>
  </si>
  <si>
    <t>2026-03-21T18:28:30.123Z</t>
  </si>
  <si>
    <t>articles_enfants</t>
  </si>
  <si>
    <t>dablinendiaye10@gmail.com</t>
  </si>
  <si>
    <t>Dabline Ndiaye</t>
  </si>
  <si>
    <t>qualite_fraicheur, fiabilite_livraison, choix_panier, cout_total, autre</t>
  </si>
  <si>
    <t xml:space="preserve">Tata Ami </t>
  </si>
  <si>
    <t>LKT1758565854557</t>
  </si>
  <si>
    <t>LK1140RLUE</t>
  </si>
  <si>
    <t>2026-03-21T18:30:50.580Z</t>
  </si>
  <si>
    <t>thieboudienne, yassa, mafe, supkanja, caldou</t>
  </si>
  <si>
    <t>creneau</t>
  </si>
  <si>
    <t>Ayao</t>
  </si>
  <si>
    <t>LKT1758567004887</t>
  </si>
  <si>
    <t>LK627601KK</t>
  </si>
  <si>
    <t>2026-03-21T18:50:00.369Z</t>
  </si>
  <si>
    <t>amerique_nord</t>
  </si>
  <si>
    <t>mermoz-sacre-coeur, sicap-mbao</t>
  </si>
  <si>
    <t>LKT1758575368182</t>
  </si>
  <si>
    <t>LK6719FNDU</t>
  </si>
  <si>
    <t>2026-03-21T21:09:23.906Z</t>
  </si>
  <si>
    <t>ndydiao@gmail.com</t>
  </si>
  <si>
    <t>Zonchou</t>
  </si>
  <si>
    <t>LKT1758579612676</t>
  </si>
  <si>
    <t>LK9452XMDI</t>
  </si>
  <si>
    <t>2026-03-21T22:20:04.577Z</t>
  </si>
  <si>
    <t>transport, qualite, prix</t>
  </si>
  <si>
    <t>thieboudienne, yassa, mafe, supkanja, caldou, ceebujenblanc, fataya</t>
  </si>
  <si>
    <t>reduction, priorite, personnalisation</t>
  </si>
  <si>
    <t>gain_temps, hub_proximite, commande_avance</t>
  </si>
  <si>
    <t>delpieror10@gmail.com</t>
  </si>
  <si>
    <t>E</t>
  </si>
  <si>
    <t>LKT1758580043338</t>
  </si>
  <si>
    <t>LK0768389I</t>
  </si>
  <si>
    <t>2026-03-21T22:27:19.804Z</t>
  </si>
  <si>
    <t>Mamita</t>
  </si>
  <si>
    <t>LKT1758593317419</t>
  </si>
  <si>
    <t>LK899451UM</t>
  </si>
  <si>
    <t>2026-03-22T02:08:32.710Z</t>
  </si>
  <si>
    <t>LKT1758622612898</t>
  </si>
  <si>
    <t>LK6485DN4C</t>
  </si>
  <si>
    <t>2026-03-22T10:16:45.318Z</t>
  </si>
  <si>
    <t>sicap-mbao</t>
  </si>
  <si>
    <t>supkanja</t>
  </si>
  <si>
    <t>priorite, creneau, personnalisation</t>
  </si>
  <si>
    <t>fraicheur, livraison, paiement</t>
  </si>
  <si>
    <t>byba3202@gmail.com</t>
  </si>
  <si>
    <t>Aby</t>
  </si>
  <si>
    <t>cosmetiques, produits_menagers, boulangerie</t>
  </si>
  <si>
    <t>LKT1758626629652</t>
  </si>
  <si>
    <t>LK32295RBQ</t>
  </si>
  <si>
    <t>2026-03-22T11:23:45.650Z</t>
  </si>
  <si>
    <t>reduction, livraison_gratuite</t>
  </si>
  <si>
    <t>gain_temps, prix_transparents, commande_avance</t>
  </si>
  <si>
    <t>La vente de poissons frais et de poulets pourrait être intéressante.</t>
  </si>
  <si>
    <t xml:space="preserve">Khadija </t>
  </si>
  <si>
    <t>LKT1758635861147</t>
  </si>
  <si>
    <t>LK16859PM3</t>
  </si>
  <si>
    <t>2026-03-22T13:57:37.662Z</t>
  </si>
  <si>
    <t>marche_traditionnel</t>
  </si>
  <si>
    <t>temps, transport, qualite, prix, disponibilite, foule</t>
  </si>
  <si>
    <t>thieboudienne, yassa, mafe, thiou, domoda, supkanja, ceebujenblanc</t>
  </si>
  <si>
    <t>LKT1758636971529</t>
  </si>
  <si>
    <t>LK5491CWRT</t>
  </si>
  <si>
    <t>2026-03-22T14:16:00.892Z</t>
  </si>
  <si>
    <t>thieboudienne, mafe, supkanja</t>
  </si>
  <si>
    <t>livraison_gratuite, personnalisation, points</t>
  </si>
  <si>
    <t>fraicheur, delai_24h, choix</t>
  </si>
  <si>
    <t>LKT1758637306529</t>
  </si>
  <si>
    <t>LK69533Q6D</t>
  </si>
  <si>
    <t>2026-03-22T14:21:41.796Z</t>
  </si>
  <si>
    <t>Mame</t>
  </si>
  <si>
    <t>cout_total</t>
  </si>
  <si>
    <t>LKT1758638234159</t>
  </si>
  <si>
    <t>LK9585X5KS</t>
  </si>
  <si>
    <t>2026-03-22T14:37:10.362Z</t>
  </si>
  <si>
    <t>sacre-coeur</t>
  </si>
  <si>
    <t>thieboudienne, yassa</t>
  </si>
  <si>
    <t>livraison_gratuite, creneau, points</t>
  </si>
  <si>
    <t>gain_temps, packs_recettes, commande_avance</t>
  </si>
  <si>
    <t>cosmetiques, produits_menagers, pharmacie</t>
  </si>
  <si>
    <t>LKT1758639065797</t>
  </si>
  <si>
    <t>LK17252W18</t>
  </si>
  <si>
    <t>2026-03-22T14:51:02.020Z</t>
  </si>
  <si>
    <t>mermoz</t>
  </si>
  <si>
    <t>supermarche, boutique_quartier, online</t>
  </si>
  <si>
    <t>thieboudienne, yassa, mafe, thiou, domoda, ceebujenblanc, firire</t>
  </si>
  <si>
    <t>gnagnamoustafa@gmail.com</t>
  </si>
  <si>
    <t xml:space="preserve">Gnagna </t>
  </si>
  <si>
    <t>resto_partenaire, cosmetiques, produits_menagers, pharmacie, boulangerie</t>
  </si>
  <si>
    <t>LKT1758644105570</t>
  </si>
  <si>
    <t>LK9646YC2R</t>
  </si>
  <si>
    <t>2026-03-22T16:15:01.383Z</t>
  </si>
  <si>
    <t>temps, disponibilite, foule</t>
  </si>
  <si>
    <t>reduction, livraison_gratuite, points</t>
  </si>
  <si>
    <t>khadijasydiop@gmail.com</t>
  </si>
  <si>
    <t>Khadija</t>
  </si>
  <si>
    <t>resto_partenaire, boulangerie</t>
  </si>
  <si>
    <t>LKT1758646276945</t>
  </si>
  <si>
    <t>LK14024PG6</t>
  </si>
  <si>
    <t>2026-03-22T16:51:14.012Z</t>
  </si>
  <si>
    <t>packs_recettes, produits_necessite, produits_locaux, articles_enfants</t>
  </si>
  <si>
    <t>Nene Diop</t>
  </si>
  <si>
    <t>LKT1758663607474</t>
  </si>
  <si>
    <t>LK2392ANOW</t>
  </si>
  <si>
    <t>2026-03-22T21:40:04.496Z</t>
  </si>
  <si>
    <t>service_personnalise</t>
  </si>
  <si>
    <t>LKT1758666441837</t>
  </si>
  <si>
    <t>LK0561FUFB</t>
  </si>
  <si>
    <t>2026-03-22T22:27:18.753Z</t>
  </si>
  <si>
    <t>suivi_temps_reel</t>
  </si>
  <si>
    <t>LKT1758669386912</t>
  </si>
  <si>
    <t>LK0442D4JR</t>
  </si>
  <si>
    <t>2026-03-22T23:16:23.431Z</t>
  </si>
  <si>
    <t>numerus.it@gmail.com</t>
  </si>
  <si>
    <t xml:space="preserve">Mody NDIAYE </t>
  </si>
  <si>
    <t>LKT1758671236586</t>
  </si>
  <si>
    <t>LK59611163</t>
  </si>
  <si>
    <t>2026-03-22T23:47:14.169Z</t>
  </si>
  <si>
    <t>plateau-almadies, mermoz-sacre-coeur, point-e-fann, yoff-ngor, ouakam</t>
  </si>
  <si>
    <t>LKT1758682054252</t>
  </si>
  <si>
    <t>LK4523J9Y5</t>
  </si>
  <si>
    <t>2026-03-23T02:47:31.330Z</t>
  </si>
  <si>
    <t>confirmation_sms, service_client</t>
  </si>
  <si>
    <t>elous.beye@gmail.com</t>
  </si>
  <si>
    <t xml:space="preserve">Elhadji </t>
  </si>
  <si>
    <t>LKT1758710198472</t>
  </si>
  <si>
    <t>LK4517X4FP</t>
  </si>
  <si>
    <t>2026-03-23T10:36:34.925Z</t>
  </si>
  <si>
    <t>gayeabdelsalam6@gmail.com</t>
  </si>
  <si>
    <t>Abdel</t>
  </si>
  <si>
    <t>Offrir un pack surprise</t>
  </si>
  <si>
    <t>Jus locaux fruis'ts exotiques</t>
  </si>
  <si>
    <t>LKT1758792322543</t>
  </si>
  <si>
    <t>LK29149A1S</t>
  </si>
  <si>
    <t>2026-03-24T09:25:19.034Z</t>
  </si>
  <si>
    <t>jecreemavaleur@gmail.com</t>
  </si>
  <si>
    <t>Des fruits
Des légumes
Des produits pour le petit déjeuner déjà préparés et sains</t>
  </si>
  <si>
    <t xml:space="preserve">Des courses </t>
  </si>
  <si>
    <t>LKT1758822464968</t>
  </si>
  <si>
    <t>LK2926E8W7</t>
  </si>
  <si>
    <t>2026-03-24T17:47:41.547Z</t>
  </si>
  <si>
    <t>serignebalde1987@gmail.com</t>
  </si>
  <si>
    <t>Serigne</t>
  </si>
  <si>
    <t>Tableau de Bord - Leeket Survey</t>
  </si>
  <si>
    <t>Métrique</t>
  </si>
  <si>
    <t>Valeur</t>
  </si>
  <si>
    <t>Objectif</t>
  </si>
  <si>
    <t>% Atteint</t>
  </si>
  <si>
    <t>Total Réponses</t>
  </si>
  <si>
    <t>Hot Leads (70+)</t>
  </si>
  <si>
    <t>Warm Leads (40-69)</t>
  </si>
  <si>
    <t>Cold Leads (&lt;40)</t>
  </si>
  <si>
    <t>-</t>
  </si>
  <si>
    <t>Score Lead Moyen</t>
  </si>
  <si>
    <t>Beta Testeurs</t>
  </si>
  <si>
    <t>Membres Diaspora</t>
  </si>
  <si>
    <t>Taux Conversion Hot</t>
  </si>
  <si>
    <t>Top 5 Quartiers</t>
  </si>
  <si>
    <t>Nombre</t>
  </si>
  <si>
    <t>Tendance 7 derniers jours</t>
  </si>
  <si>
    <t>Date</t>
  </si>
  <si>
    <t>Nouvelles réponses</t>
  </si>
  <si>
    <t>Hot Leads</t>
  </si>
  <si>
    <t>🔥 HOT LEADS (Score ≥ 70)</t>
  </si>
  <si>
    <t>🌍 MEMBRES DIASPORA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</si>
</sst>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d-m"/>
  </numFmts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color rgb="FF856404"/>
      <name val="Arial"/>
      <scheme val="minor"/>
    </font>
    <font>
      <color rgb="FF721C24"/>
      <name val="Arial"/>
      <scheme val="minor"/>
    </font>
    <font>
      <color rgb="FF155724"/>
      <name val="Arial"/>
      <scheme val="minor"/>
    </font>
    <font>
      <b/>
      <sz val="18.0"/>
      <color theme="1"/>
      <name val="Arial"/>
      <scheme val="minor"/>
    </font>
    <font>
      <b/>
      <color theme="1"/>
      <name val="Arial"/>
      <scheme val="minor"/>
    </font>
    <font>
      <b/>
      <sz val="16.0"/>
      <color rgb="FFFFFFFF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2ECC71"/>
        <bgColor rgb="FF2ECC71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  <fill>
      <patternFill patternType="solid">
        <fgColor rgb="FFE8F5E9"/>
        <bgColor rgb="FFE8F5E9"/>
      </patternFill>
    </fill>
    <fill>
      <patternFill patternType="solid">
        <fgColor rgb="FFE74C3C"/>
        <bgColor rgb="FFE74C3C"/>
      </patternFill>
    </fill>
    <fill>
      <patternFill patternType="solid">
        <fgColor rgb="FF3498DB"/>
        <bgColor rgb="FF3498DB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4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6" fontId="7" numFmtId="0" xfId="0" applyAlignment="1" applyFill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9" xfId="0" applyFont="1" applyNumberFormat="1"/>
    <xf borderId="0" fillId="0" fontId="2" numFmtId="9" xfId="0" applyAlignment="1" applyFont="1" applyNumberFormat="1">
      <alignment readingOrder="0"/>
    </xf>
    <xf borderId="0" fillId="0" fontId="2" numFmtId="14" xfId="0" applyFont="1" applyNumberFormat="1"/>
    <xf borderId="0" fillId="7" fontId="8" numFmtId="0" xfId="0" applyAlignment="1" applyFill="1" applyFont="1">
      <alignment readingOrder="0"/>
    </xf>
    <xf borderId="0" fillId="7" fontId="1" numFmtId="0" xfId="0" applyFont="1"/>
    <xf borderId="0" fillId="8" fontId="8" numFmtId="0" xfId="0" applyAlignment="1" applyFill="1" applyFont="1">
      <alignment readingOrder="0"/>
    </xf>
    <xf borderId="0" fillId="8" fontId="1" numFmtId="0" xfId="0" applyFont="1"/>
  </cellXfs>
  <cellStyles count="1">
    <cellStyle xfId="0" name="Normal" builtinId="0"/>
  </cellStyles>
  <dxfs count="4">
    <dxf>
      <font>
        <color rgb="FF2ECC71"/>
      </font>
      <fill>
        <patternFill patternType="none"/>
      </fill>
      <border/>
    </dxf>
    <dxf>
      <font/>
      <fill>
        <patternFill patternType="solid">
          <fgColor rgb="FFD4EDDA"/>
          <bgColor rgb="FFD4EDDA"/>
        </patternFill>
      </fill>
      <border/>
    </dxf>
    <dxf>
      <font/>
      <fill>
        <patternFill patternType="solid">
          <fgColor rgb="FFFFF3CD"/>
          <bgColor rgb="FFFFF3CD"/>
        </patternFill>
      </fill>
      <border/>
    </dxf>
    <dxf>
      <font/>
      <fill>
        <patternFill patternType="solid">
          <fgColor rgb="FFF8D7DA"/>
          <bgColor rgb="FFF8D7D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12" max="12" width="13.38"/>
    <col customWidth="1" min="18" max="18" width="60.25"/>
    <col customWidth="1" min="19" max="19" width="16.25"/>
    <col customWidth="1" min="20" max="20" width="18.63"/>
    <col customWidth="1" min="21" max="21" width="21.0"/>
    <col customWidth="1" min="22" max="22" width="44.63"/>
    <col customWidth="1" min="23" max="23" width="21.88"/>
    <col customWidth="1" min="25" max="25" width="20.38"/>
    <col customWidth="1" min="26" max="26" width="19.38"/>
    <col customWidth="1" min="27" max="27" width="34.38"/>
    <col customWidth="1" min="28" max="28" width="10.25"/>
    <col customWidth="1" min="30" max="30" width="40.75"/>
    <col customWidth="1" min="31" max="31" width="13.0"/>
    <col customWidth="1" min="38" max="38" width="30.38"/>
    <col customWidth="1" min="39" max="39" width="30.88"/>
    <col customWidth="1" min="40" max="40" width="54.38"/>
    <col customWidth="1" min="41" max="41" width="40.25"/>
    <col customWidth="1" min="42" max="42" width="24.75"/>
    <col customWidth="1" min="46" max="46" width="12.13"/>
    <col customWidth="1" min="47" max="47" width="26.88"/>
    <col customWidth="1" min="48" max="48" width="21.25"/>
    <col customWidth="1" min="50" max="50" width="77.0"/>
    <col customWidth="1" min="51" max="51" width="46.88"/>
    <col customWidth="1" min="52" max="52" width="63.25"/>
    <col customWidth="1" min="53" max="53" width="23.63"/>
    <col customWidth="1" min="54" max="54" width="48.25"/>
    <col customWidth="1" min="55" max="55" width="24.13"/>
    <col customWidth="1" min="56" max="56" width="20.88"/>
    <col customWidth="1" min="58" max="58" width="13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>
      <c r="A2" s="2">
        <v>45908.03176363426</v>
      </c>
      <c r="B2" s="3" t="s">
        <v>64</v>
      </c>
      <c r="C2" s="4">
        <v>40.0</v>
      </c>
      <c r="D2" s="3" t="s">
        <v>65</v>
      </c>
      <c r="E2" s="3" t="s">
        <v>66</v>
      </c>
      <c r="F2" s="3" t="s">
        <v>67</v>
      </c>
      <c r="G2" s="3" t="s">
        <v>68</v>
      </c>
      <c r="H2" s="5">
        <v>2000.0</v>
      </c>
      <c r="I2" s="3" t="s">
        <v>69</v>
      </c>
      <c r="J2" s="3" t="b">
        <v>0</v>
      </c>
      <c r="L2" s="3" t="s">
        <v>70</v>
      </c>
      <c r="M2" s="3" t="s">
        <v>71</v>
      </c>
      <c r="N2" s="3" t="s">
        <v>72</v>
      </c>
      <c r="O2" s="3" t="s">
        <v>73</v>
      </c>
      <c r="P2" s="3" t="s">
        <v>74</v>
      </c>
      <c r="Q2" s="3" t="s">
        <v>75</v>
      </c>
      <c r="R2" s="3" t="s">
        <v>76</v>
      </c>
      <c r="S2" s="3" t="s">
        <v>76</v>
      </c>
      <c r="T2" s="3" t="s">
        <v>76</v>
      </c>
      <c r="U2" s="3" t="s">
        <v>76</v>
      </c>
      <c r="V2" s="3" t="s">
        <v>76</v>
      </c>
      <c r="Y2" s="3" t="s">
        <v>76</v>
      </c>
      <c r="Z2" s="3" t="s">
        <v>76</v>
      </c>
      <c r="AM2" s="3" t="s">
        <v>77</v>
      </c>
      <c r="AN2" s="3" t="s">
        <v>78</v>
      </c>
      <c r="AO2" s="3" t="s">
        <v>79</v>
      </c>
      <c r="AP2" s="3" t="s">
        <v>80</v>
      </c>
      <c r="AQ2" s="3" t="s">
        <v>81</v>
      </c>
      <c r="AR2" s="3" t="s">
        <v>82</v>
      </c>
      <c r="AS2" s="3">
        <v>2.0</v>
      </c>
      <c r="AT2" s="6">
        <v>33617777764</v>
      </c>
      <c r="AU2" s="3" t="s">
        <v>83</v>
      </c>
      <c r="AV2" s="3" t="s">
        <v>84</v>
      </c>
      <c r="AW2" s="3" t="b">
        <v>1</v>
      </c>
      <c r="AY2" s="3" t="s">
        <v>85</v>
      </c>
      <c r="BA2" s="3" t="s">
        <v>86</v>
      </c>
      <c r="BE2" s="3">
        <v>37.0</v>
      </c>
      <c r="BF2" s="3" t="s">
        <v>87</v>
      </c>
    </row>
    <row r="3">
      <c r="A3" s="2">
        <v>45921.80239328704</v>
      </c>
      <c r="B3" s="3" t="s">
        <v>88</v>
      </c>
      <c r="C3" s="4">
        <v>55.0</v>
      </c>
      <c r="D3" s="3" t="s">
        <v>65</v>
      </c>
      <c r="E3" s="3" t="s">
        <v>66</v>
      </c>
      <c r="F3" s="3" t="s">
        <v>89</v>
      </c>
      <c r="G3" s="3" t="s">
        <v>68</v>
      </c>
      <c r="H3" s="5">
        <v>2000.0</v>
      </c>
      <c r="I3" s="3" t="s">
        <v>90</v>
      </c>
      <c r="J3" s="3" t="b">
        <v>0</v>
      </c>
      <c r="L3" s="3" t="s">
        <v>91</v>
      </c>
      <c r="M3" s="3" t="s">
        <v>92</v>
      </c>
      <c r="O3" s="3" t="s">
        <v>93</v>
      </c>
      <c r="P3" s="3" t="s">
        <v>74</v>
      </c>
      <c r="Q3" s="3" t="s">
        <v>75</v>
      </c>
      <c r="R3" s="3" t="s">
        <v>94</v>
      </c>
      <c r="S3" s="3" t="s">
        <v>95</v>
      </c>
      <c r="T3" s="3" t="s">
        <v>96</v>
      </c>
      <c r="U3" s="3" t="s">
        <v>97</v>
      </c>
      <c r="V3" s="3" t="s">
        <v>98</v>
      </c>
      <c r="W3" s="3" t="s">
        <v>95</v>
      </c>
      <c r="X3" s="3" t="s">
        <v>99</v>
      </c>
      <c r="Y3" s="3" t="s">
        <v>100</v>
      </c>
      <c r="Z3" s="3" t="s">
        <v>101</v>
      </c>
      <c r="AA3" s="3" t="s">
        <v>102</v>
      </c>
      <c r="AB3" s="3" t="s">
        <v>103</v>
      </c>
      <c r="AC3" s="3">
        <v>3.0</v>
      </c>
      <c r="AD3" s="3" t="s">
        <v>104</v>
      </c>
      <c r="AE3" s="3" t="s">
        <v>105</v>
      </c>
      <c r="AF3" s="3">
        <v>5000.0</v>
      </c>
      <c r="AG3" s="3">
        <v>10000.0</v>
      </c>
      <c r="AH3" s="3">
        <v>1500.0</v>
      </c>
      <c r="AI3" s="3" t="s">
        <v>106</v>
      </c>
      <c r="AJ3" s="3" t="s">
        <v>107</v>
      </c>
      <c r="AK3" s="3" t="s">
        <v>108</v>
      </c>
      <c r="AL3" s="3" t="s">
        <v>109</v>
      </c>
      <c r="AT3" s="3">
        <v>7.84828532E8</v>
      </c>
      <c r="AU3" s="3" t="s">
        <v>110</v>
      </c>
      <c r="AV3" s="3" t="s">
        <v>111</v>
      </c>
      <c r="AW3" s="3" t="b">
        <v>1</v>
      </c>
      <c r="BB3" s="3" t="s">
        <v>112</v>
      </c>
      <c r="BD3" s="3" t="s">
        <v>86</v>
      </c>
      <c r="BE3" s="3">
        <v>39.0</v>
      </c>
      <c r="BF3" s="3" t="s">
        <v>87</v>
      </c>
    </row>
    <row r="4">
      <c r="A4" s="2">
        <v>45921.80425144676</v>
      </c>
      <c r="B4" s="3" t="s">
        <v>113</v>
      </c>
      <c r="C4" s="7">
        <v>20.0</v>
      </c>
      <c r="D4" s="3" t="s">
        <v>114</v>
      </c>
      <c r="E4" s="3" t="s">
        <v>66</v>
      </c>
      <c r="F4" s="3" t="s">
        <v>115</v>
      </c>
      <c r="G4" s="3" t="s">
        <v>68</v>
      </c>
      <c r="H4" s="5">
        <v>2000.0</v>
      </c>
      <c r="I4" s="3" t="s">
        <v>116</v>
      </c>
      <c r="J4" s="3" t="b">
        <v>0</v>
      </c>
      <c r="L4" s="3" t="s">
        <v>70</v>
      </c>
      <c r="M4" s="3" t="s">
        <v>71</v>
      </c>
      <c r="N4" s="3" t="s">
        <v>72</v>
      </c>
      <c r="O4" s="3" t="s">
        <v>117</v>
      </c>
      <c r="P4" s="8">
        <v>45813.0</v>
      </c>
      <c r="Q4" s="3" t="s">
        <v>75</v>
      </c>
      <c r="R4" s="3" t="s">
        <v>76</v>
      </c>
      <c r="S4" s="3" t="s">
        <v>76</v>
      </c>
      <c r="T4" s="3" t="s">
        <v>76</v>
      </c>
      <c r="U4" s="3" t="s">
        <v>76</v>
      </c>
      <c r="V4" s="3" t="s">
        <v>76</v>
      </c>
      <c r="Y4" s="3" t="s">
        <v>76</v>
      </c>
      <c r="Z4" s="3" t="s">
        <v>76</v>
      </c>
      <c r="AM4" s="3" t="s">
        <v>118</v>
      </c>
      <c r="AN4" s="3" t="s">
        <v>119</v>
      </c>
      <c r="AO4" s="3" t="s">
        <v>120</v>
      </c>
      <c r="AP4" s="3" t="s">
        <v>80</v>
      </c>
      <c r="AQ4" s="3" t="s">
        <v>81</v>
      </c>
      <c r="AR4" s="3" t="s">
        <v>121</v>
      </c>
      <c r="AS4" s="3">
        <v>1.0</v>
      </c>
      <c r="AT4" s="6">
        <v>33769480003</v>
      </c>
      <c r="AV4" s="3" t="s">
        <v>122</v>
      </c>
      <c r="AW4" s="3" t="b">
        <v>0</v>
      </c>
      <c r="AY4" s="3" t="s">
        <v>123</v>
      </c>
      <c r="BA4" s="3" t="s">
        <v>86</v>
      </c>
      <c r="BE4" s="3">
        <v>39.0</v>
      </c>
      <c r="BF4" s="3" t="s">
        <v>87</v>
      </c>
    </row>
    <row r="5">
      <c r="A5" s="2">
        <v>45921.80863320602</v>
      </c>
      <c r="B5" s="3" t="s">
        <v>124</v>
      </c>
      <c r="C5" s="9">
        <v>90.0</v>
      </c>
      <c r="D5" s="3" t="s">
        <v>125</v>
      </c>
      <c r="E5" s="3" t="s">
        <v>66</v>
      </c>
      <c r="F5" s="3" t="s">
        <v>126</v>
      </c>
      <c r="G5" s="3" t="s">
        <v>68</v>
      </c>
      <c r="H5" s="5">
        <v>2000.0</v>
      </c>
      <c r="I5" s="3" t="s">
        <v>127</v>
      </c>
      <c r="J5" s="3" t="b">
        <v>0</v>
      </c>
      <c r="L5" s="3" t="s">
        <v>91</v>
      </c>
      <c r="M5" s="3" t="s">
        <v>128</v>
      </c>
      <c r="O5" s="3" t="s">
        <v>117</v>
      </c>
      <c r="P5" s="8">
        <v>45750.0</v>
      </c>
      <c r="Q5" s="3" t="s">
        <v>129</v>
      </c>
      <c r="R5" s="3" t="s">
        <v>130</v>
      </c>
      <c r="S5" s="3" t="s">
        <v>95</v>
      </c>
      <c r="T5" s="3" t="s">
        <v>96</v>
      </c>
      <c r="U5" s="3" t="s">
        <v>131</v>
      </c>
      <c r="V5" s="3" t="s">
        <v>132</v>
      </c>
      <c r="W5" s="3" t="s">
        <v>95</v>
      </c>
      <c r="X5" s="3" t="s">
        <v>133</v>
      </c>
      <c r="Y5" s="3" t="s">
        <v>100</v>
      </c>
      <c r="Z5" s="3" t="s">
        <v>134</v>
      </c>
      <c r="AA5" s="3" t="s">
        <v>135</v>
      </c>
      <c r="AB5" s="3" t="s">
        <v>103</v>
      </c>
      <c r="AC5" s="3">
        <v>5.0</v>
      </c>
      <c r="AD5" s="3" t="s">
        <v>136</v>
      </c>
      <c r="AE5" s="3" t="s">
        <v>137</v>
      </c>
      <c r="AF5" s="3">
        <v>2000.0</v>
      </c>
      <c r="AG5" s="3">
        <v>3000.0</v>
      </c>
      <c r="AH5" s="3">
        <v>1000.0</v>
      </c>
      <c r="AI5" s="3" t="s">
        <v>95</v>
      </c>
      <c r="AJ5" s="3" t="s">
        <v>138</v>
      </c>
      <c r="AL5" s="3" t="s">
        <v>139</v>
      </c>
      <c r="AT5" s="3">
        <v>7.84307752E8</v>
      </c>
      <c r="AW5" s="3" t="b">
        <v>1</v>
      </c>
      <c r="BB5" s="3" t="s">
        <v>140</v>
      </c>
      <c r="BD5" s="3" t="s">
        <v>86</v>
      </c>
      <c r="BE5" s="3">
        <v>39.0</v>
      </c>
      <c r="BF5" s="3" t="s">
        <v>87</v>
      </c>
    </row>
    <row r="6">
      <c r="A6" s="2">
        <v>45921.81329875</v>
      </c>
      <c r="B6" s="3" t="s">
        <v>141</v>
      </c>
      <c r="C6" s="9">
        <v>70.0</v>
      </c>
      <c r="D6" s="3" t="s">
        <v>125</v>
      </c>
      <c r="E6" s="3" t="s">
        <v>66</v>
      </c>
      <c r="F6" s="3" t="s">
        <v>142</v>
      </c>
      <c r="G6" s="3" t="s">
        <v>68</v>
      </c>
      <c r="H6" s="5">
        <v>2000.0</v>
      </c>
      <c r="I6" s="3" t="s">
        <v>143</v>
      </c>
      <c r="J6" s="3" t="b">
        <v>0</v>
      </c>
      <c r="L6" s="3" t="s">
        <v>91</v>
      </c>
      <c r="M6" s="3" t="s">
        <v>144</v>
      </c>
      <c r="O6" s="3" t="s">
        <v>117</v>
      </c>
      <c r="P6" s="8">
        <v>45750.0</v>
      </c>
      <c r="Q6" s="3" t="s">
        <v>75</v>
      </c>
      <c r="R6" s="3" t="s">
        <v>94</v>
      </c>
      <c r="S6" s="3" t="s">
        <v>145</v>
      </c>
      <c r="T6" s="3" t="s">
        <v>146</v>
      </c>
      <c r="U6" s="3" t="s">
        <v>147</v>
      </c>
      <c r="W6" s="3" t="s">
        <v>148</v>
      </c>
      <c r="X6" s="3" t="s">
        <v>133</v>
      </c>
      <c r="Y6" s="3" t="s">
        <v>149</v>
      </c>
      <c r="Z6" s="3" t="s">
        <v>150</v>
      </c>
      <c r="AA6" s="3" t="s">
        <v>151</v>
      </c>
      <c r="AB6" s="3" t="s">
        <v>149</v>
      </c>
      <c r="AC6" s="3">
        <v>4.0</v>
      </c>
      <c r="AD6" s="3" t="s">
        <v>152</v>
      </c>
      <c r="AE6" s="3" t="s">
        <v>137</v>
      </c>
      <c r="AF6" s="3">
        <v>6000.0</v>
      </c>
      <c r="AG6" s="3">
        <v>8500.0</v>
      </c>
      <c r="AH6" s="3">
        <v>1000.0</v>
      </c>
      <c r="AI6" s="3" t="s">
        <v>145</v>
      </c>
      <c r="AJ6" s="3" t="s">
        <v>153</v>
      </c>
      <c r="AL6" s="3" t="s">
        <v>154</v>
      </c>
      <c r="AT6" s="3">
        <v>7.76575058E8</v>
      </c>
      <c r="AV6" s="3" t="s">
        <v>155</v>
      </c>
      <c r="AW6" s="3" t="b">
        <v>0</v>
      </c>
      <c r="BB6" s="3" t="s">
        <v>156</v>
      </c>
      <c r="BD6" s="3" t="s">
        <v>86</v>
      </c>
      <c r="BE6" s="3">
        <v>39.0</v>
      </c>
      <c r="BF6" s="3" t="s">
        <v>87</v>
      </c>
    </row>
    <row r="7">
      <c r="A7" s="2">
        <v>45921.813419074075</v>
      </c>
      <c r="B7" s="3" t="s">
        <v>157</v>
      </c>
      <c r="C7" s="4">
        <v>68.0</v>
      </c>
      <c r="D7" s="3" t="s">
        <v>65</v>
      </c>
      <c r="E7" s="3" t="s">
        <v>66</v>
      </c>
      <c r="F7" s="3" t="s">
        <v>158</v>
      </c>
      <c r="G7" s="3" t="s">
        <v>68</v>
      </c>
      <c r="H7" s="5">
        <v>2000.0</v>
      </c>
      <c r="I7" s="3" t="s">
        <v>159</v>
      </c>
      <c r="J7" s="3" t="b">
        <v>0</v>
      </c>
      <c r="L7" s="3" t="s">
        <v>91</v>
      </c>
      <c r="M7" s="3" t="s">
        <v>128</v>
      </c>
      <c r="O7" s="3" t="s">
        <v>93</v>
      </c>
      <c r="P7" s="3">
        <v>2.0</v>
      </c>
      <c r="Q7" s="3" t="s">
        <v>160</v>
      </c>
      <c r="R7" s="3" t="s">
        <v>161</v>
      </c>
      <c r="S7" s="3" t="s">
        <v>95</v>
      </c>
      <c r="T7" s="3" t="s">
        <v>96</v>
      </c>
      <c r="U7" s="3" t="s">
        <v>162</v>
      </c>
      <c r="V7" s="3" t="s">
        <v>132</v>
      </c>
      <c r="W7" s="3" t="s">
        <v>106</v>
      </c>
      <c r="X7" s="3" t="s">
        <v>163</v>
      </c>
      <c r="Y7" s="3" t="s">
        <v>100</v>
      </c>
      <c r="Z7" s="3" t="s">
        <v>164</v>
      </c>
      <c r="AA7" s="3" t="s">
        <v>165</v>
      </c>
      <c r="AB7" s="3" t="s">
        <v>166</v>
      </c>
      <c r="AC7" s="3">
        <v>5.0</v>
      </c>
      <c r="AD7" s="3" t="s">
        <v>167</v>
      </c>
      <c r="AE7" s="3" t="s">
        <v>137</v>
      </c>
      <c r="AF7" s="3">
        <v>5000.0</v>
      </c>
      <c r="AG7" s="3">
        <v>7000.0</v>
      </c>
      <c r="AH7" s="3" t="s">
        <v>168</v>
      </c>
      <c r="AI7" s="3" t="s">
        <v>169</v>
      </c>
      <c r="AJ7" s="3" t="s">
        <v>138</v>
      </c>
      <c r="AL7" s="3" t="s">
        <v>170</v>
      </c>
      <c r="AT7" s="3">
        <v>7.72395947E8</v>
      </c>
      <c r="AU7" s="3" t="s">
        <v>171</v>
      </c>
      <c r="AV7" s="3" t="s">
        <v>172</v>
      </c>
      <c r="AW7" s="3" t="b">
        <v>0</v>
      </c>
      <c r="BB7" s="3" t="s">
        <v>173</v>
      </c>
      <c r="BD7" s="3" t="s">
        <v>86</v>
      </c>
      <c r="BE7" s="3">
        <v>39.0</v>
      </c>
      <c r="BF7" s="3" t="s">
        <v>87</v>
      </c>
    </row>
    <row r="8">
      <c r="A8" s="2">
        <v>45921.822799270834</v>
      </c>
      <c r="B8" s="3" t="s">
        <v>174</v>
      </c>
      <c r="C8" s="9">
        <v>70.0</v>
      </c>
      <c r="D8" s="3" t="s">
        <v>125</v>
      </c>
      <c r="E8" s="3" t="s">
        <v>66</v>
      </c>
      <c r="F8" s="3" t="s">
        <v>175</v>
      </c>
      <c r="G8" s="3" t="s">
        <v>68</v>
      </c>
      <c r="H8" s="5">
        <v>2000.0</v>
      </c>
      <c r="I8" s="3" t="s">
        <v>176</v>
      </c>
      <c r="J8" s="3" t="b">
        <v>0</v>
      </c>
      <c r="L8" s="3" t="s">
        <v>91</v>
      </c>
      <c r="M8" s="3" t="s">
        <v>177</v>
      </c>
      <c r="O8" s="3" t="s">
        <v>117</v>
      </c>
      <c r="P8" s="8">
        <v>45813.0</v>
      </c>
      <c r="Q8" s="3" t="s">
        <v>160</v>
      </c>
      <c r="R8" s="3" t="s">
        <v>161</v>
      </c>
      <c r="S8" s="3" t="s">
        <v>82</v>
      </c>
      <c r="T8" s="3" t="s">
        <v>178</v>
      </c>
      <c r="U8" s="3" t="s">
        <v>179</v>
      </c>
      <c r="V8" s="3" t="s">
        <v>180</v>
      </c>
      <c r="W8" s="3" t="s">
        <v>95</v>
      </c>
      <c r="X8" s="3" t="s">
        <v>99</v>
      </c>
      <c r="Y8" s="3" t="s">
        <v>181</v>
      </c>
      <c r="Z8" s="3" t="s">
        <v>182</v>
      </c>
      <c r="AA8" s="3" t="s">
        <v>183</v>
      </c>
      <c r="AB8" s="3" t="s">
        <v>184</v>
      </c>
      <c r="AC8" s="3">
        <v>4.0</v>
      </c>
      <c r="AD8" s="3" t="s">
        <v>167</v>
      </c>
      <c r="AE8" s="3" t="s">
        <v>105</v>
      </c>
      <c r="AF8" s="3">
        <v>5000.0</v>
      </c>
      <c r="AG8" s="3">
        <v>8000.0</v>
      </c>
      <c r="AH8" s="3" t="s">
        <v>168</v>
      </c>
      <c r="AI8" s="3" t="s">
        <v>185</v>
      </c>
      <c r="AJ8" s="3" t="s">
        <v>138</v>
      </c>
      <c r="AL8" s="3" t="s">
        <v>186</v>
      </c>
      <c r="AT8" s="3">
        <v>7.74622879E8</v>
      </c>
      <c r="AU8" s="3" t="s">
        <v>187</v>
      </c>
      <c r="AV8" s="3" t="s">
        <v>188</v>
      </c>
      <c r="AW8" s="3" t="b">
        <v>0</v>
      </c>
      <c r="BB8" s="3" t="s">
        <v>189</v>
      </c>
      <c r="BD8" s="3" t="s">
        <v>190</v>
      </c>
      <c r="BE8" s="3">
        <v>39.0</v>
      </c>
      <c r="BF8" s="3" t="s">
        <v>87</v>
      </c>
    </row>
    <row r="9">
      <c r="A9" s="2">
        <v>45921.82994590278</v>
      </c>
      <c r="B9" s="3" t="s">
        <v>191</v>
      </c>
      <c r="C9" s="7">
        <v>20.0</v>
      </c>
      <c r="D9" s="3" t="s">
        <v>114</v>
      </c>
      <c r="E9" s="3" t="s">
        <v>66</v>
      </c>
      <c r="F9" s="3" t="s">
        <v>192</v>
      </c>
      <c r="G9" s="3" t="s">
        <v>68</v>
      </c>
      <c r="H9" s="5">
        <v>2000.0</v>
      </c>
      <c r="I9" s="3" t="s">
        <v>193</v>
      </c>
      <c r="J9" s="3" t="b">
        <v>0</v>
      </c>
      <c r="L9" s="3" t="s">
        <v>70</v>
      </c>
      <c r="M9" s="3" t="s">
        <v>71</v>
      </c>
      <c r="N9" s="3" t="s">
        <v>72</v>
      </c>
      <c r="O9" s="3" t="s">
        <v>93</v>
      </c>
      <c r="P9" s="8">
        <v>45813.0</v>
      </c>
      <c r="Q9" s="3" t="s">
        <v>129</v>
      </c>
      <c r="R9" s="3" t="s">
        <v>76</v>
      </c>
      <c r="S9" s="3" t="s">
        <v>76</v>
      </c>
      <c r="T9" s="3" t="s">
        <v>76</v>
      </c>
      <c r="U9" s="3" t="s">
        <v>76</v>
      </c>
      <c r="V9" s="3" t="s">
        <v>76</v>
      </c>
      <c r="Y9" s="3" t="s">
        <v>76</v>
      </c>
      <c r="Z9" s="3" t="s">
        <v>76</v>
      </c>
      <c r="AM9" s="3" t="s">
        <v>77</v>
      </c>
      <c r="AN9" s="3" t="s">
        <v>194</v>
      </c>
      <c r="AO9" s="3" t="s">
        <v>195</v>
      </c>
      <c r="AP9" s="3" t="s">
        <v>196</v>
      </c>
      <c r="AQ9" s="3">
        <v>5.0</v>
      </c>
      <c r="AR9" s="3" t="s">
        <v>121</v>
      </c>
      <c r="AS9" s="3">
        <v>1.0</v>
      </c>
      <c r="AT9" s="3">
        <v>7.78446056E8</v>
      </c>
      <c r="AW9" s="3" t="b">
        <v>0</v>
      </c>
      <c r="AY9" s="3" t="s">
        <v>197</v>
      </c>
      <c r="BA9" s="3" t="s">
        <v>86</v>
      </c>
      <c r="BE9" s="3">
        <v>39.0</v>
      </c>
      <c r="BF9" s="3" t="s">
        <v>87</v>
      </c>
    </row>
    <row r="10">
      <c r="A10" s="2">
        <v>45921.84072856481</v>
      </c>
      <c r="B10" s="3" t="s">
        <v>198</v>
      </c>
      <c r="C10" s="9">
        <v>70.0</v>
      </c>
      <c r="D10" s="3" t="s">
        <v>125</v>
      </c>
      <c r="E10" s="3" t="s">
        <v>66</v>
      </c>
      <c r="F10" s="3" t="s">
        <v>199</v>
      </c>
      <c r="G10" s="3" t="s">
        <v>68</v>
      </c>
      <c r="H10" s="5">
        <v>2000.0</v>
      </c>
      <c r="I10" s="3" t="s">
        <v>200</v>
      </c>
      <c r="J10" s="3" t="b">
        <v>0</v>
      </c>
      <c r="L10" s="3" t="s">
        <v>91</v>
      </c>
      <c r="M10" s="3" t="s">
        <v>144</v>
      </c>
      <c r="O10" s="3" t="s">
        <v>117</v>
      </c>
      <c r="P10" s="3">
        <v>1.0</v>
      </c>
      <c r="Q10" s="3" t="s">
        <v>160</v>
      </c>
      <c r="R10" s="3" t="s">
        <v>201</v>
      </c>
      <c r="S10" s="3" t="s">
        <v>121</v>
      </c>
      <c r="T10" s="3" t="s">
        <v>202</v>
      </c>
      <c r="U10" s="3" t="s">
        <v>203</v>
      </c>
      <c r="W10" s="3" t="s">
        <v>106</v>
      </c>
      <c r="X10" s="3" t="s">
        <v>204</v>
      </c>
      <c r="Y10" s="3" t="s">
        <v>205</v>
      </c>
      <c r="Z10" s="3" t="s">
        <v>150</v>
      </c>
      <c r="AA10" s="3" t="s">
        <v>206</v>
      </c>
      <c r="AB10" s="3" t="s">
        <v>184</v>
      </c>
      <c r="AC10" s="3">
        <v>5.0</v>
      </c>
      <c r="AD10" s="3" t="s">
        <v>207</v>
      </c>
      <c r="AE10" s="3" t="s">
        <v>137</v>
      </c>
      <c r="AF10" s="3">
        <v>10000.0</v>
      </c>
      <c r="AG10" s="3">
        <v>15000.0</v>
      </c>
      <c r="AH10" s="3" t="s">
        <v>168</v>
      </c>
      <c r="AI10" s="3" t="s">
        <v>106</v>
      </c>
      <c r="AJ10" s="3" t="s">
        <v>208</v>
      </c>
      <c r="AL10" s="3" t="s">
        <v>209</v>
      </c>
      <c r="AT10" s="3">
        <v>7.81378976E8</v>
      </c>
      <c r="AU10" s="3" t="s">
        <v>210</v>
      </c>
      <c r="AV10" s="3" t="s">
        <v>211</v>
      </c>
      <c r="AW10" s="3" t="b">
        <v>1</v>
      </c>
      <c r="BB10" s="3" t="s">
        <v>212</v>
      </c>
      <c r="BD10" s="3" t="s">
        <v>190</v>
      </c>
      <c r="BE10" s="3">
        <v>39.0</v>
      </c>
      <c r="BF10" s="3" t="s">
        <v>87</v>
      </c>
    </row>
    <row r="11">
      <c r="A11" s="2">
        <v>45921.85026377314</v>
      </c>
      <c r="B11" s="3" t="s">
        <v>213</v>
      </c>
      <c r="C11" s="7">
        <v>30.0</v>
      </c>
      <c r="D11" s="3" t="s">
        <v>114</v>
      </c>
      <c r="E11" s="3" t="s">
        <v>66</v>
      </c>
      <c r="F11" s="3" t="s">
        <v>214</v>
      </c>
      <c r="G11" s="3" t="s">
        <v>68</v>
      </c>
      <c r="H11" s="5">
        <v>2000.0</v>
      </c>
      <c r="I11" s="3" t="s">
        <v>215</v>
      </c>
      <c r="J11" s="3" t="b">
        <v>0</v>
      </c>
      <c r="L11" s="3" t="s">
        <v>70</v>
      </c>
      <c r="M11" s="3" t="s">
        <v>71</v>
      </c>
      <c r="N11" s="3" t="s">
        <v>72</v>
      </c>
      <c r="O11" s="3" t="s">
        <v>216</v>
      </c>
      <c r="P11" s="8">
        <v>45813.0</v>
      </c>
      <c r="Q11" s="3" t="s">
        <v>160</v>
      </c>
      <c r="R11" s="3" t="s">
        <v>76</v>
      </c>
      <c r="S11" s="3" t="s">
        <v>76</v>
      </c>
      <c r="T11" s="3" t="s">
        <v>76</v>
      </c>
      <c r="U11" s="3" t="s">
        <v>76</v>
      </c>
      <c r="V11" s="3" t="s">
        <v>76</v>
      </c>
      <c r="Y11" s="3" t="s">
        <v>76</v>
      </c>
      <c r="Z11" s="3" t="s">
        <v>76</v>
      </c>
      <c r="AM11" s="3" t="s">
        <v>217</v>
      </c>
      <c r="AN11" s="3" t="s">
        <v>119</v>
      </c>
      <c r="AO11" s="3" t="s">
        <v>79</v>
      </c>
      <c r="AP11" s="3" t="s">
        <v>80</v>
      </c>
      <c r="AQ11" s="3">
        <v>0.0</v>
      </c>
      <c r="AR11" s="3" t="s">
        <v>121</v>
      </c>
      <c r="AS11" s="3">
        <v>1.0</v>
      </c>
      <c r="AT11" s="3">
        <v>7.71129128E8</v>
      </c>
      <c r="AW11" s="3" t="b">
        <v>1</v>
      </c>
      <c r="AX11" s="3" t="s">
        <v>218</v>
      </c>
      <c r="AY11" s="3" t="s">
        <v>219</v>
      </c>
      <c r="BA11" s="3" t="s">
        <v>190</v>
      </c>
      <c r="BE11" s="3">
        <v>39.0</v>
      </c>
      <c r="BF11" s="3" t="s">
        <v>87</v>
      </c>
    </row>
    <row r="12">
      <c r="A12" s="2">
        <v>45921.850677650466</v>
      </c>
      <c r="B12" s="3" t="s">
        <v>220</v>
      </c>
      <c r="C12" s="4">
        <v>45.0</v>
      </c>
      <c r="D12" s="3" t="s">
        <v>65</v>
      </c>
      <c r="E12" s="3" t="s">
        <v>66</v>
      </c>
      <c r="F12" s="3" t="s">
        <v>221</v>
      </c>
      <c r="G12" s="3" t="s">
        <v>68</v>
      </c>
      <c r="H12" s="5">
        <v>2000.0</v>
      </c>
      <c r="I12" s="3" t="s">
        <v>222</v>
      </c>
      <c r="J12" s="3" t="b">
        <v>0</v>
      </c>
      <c r="L12" s="3" t="s">
        <v>70</v>
      </c>
      <c r="M12" s="3" t="s">
        <v>71</v>
      </c>
      <c r="N12" s="3" t="s">
        <v>72</v>
      </c>
      <c r="O12" s="3" t="s">
        <v>216</v>
      </c>
      <c r="P12" s="3" t="s">
        <v>74</v>
      </c>
      <c r="Q12" s="3" t="s">
        <v>160</v>
      </c>
      <c r="R12" s="3" t="s">
        <v>76</v>
      </c>
      <c r="S12" s="3" t="s">
        <v>76</v>
      </c>
      <c r="T12" s="3" t="s">
        <v>76</v>
      </c>
      <c r="U12" s="3" t="s">
        <v>76</v>
      </c>
      <c r="V12" s="3" t="s">
        <v>76</v>
      </c>
      <c r="Y12" s="3" t="s">
        <v>76</v>
      </c>
      <c r="Z12" s="3" t="s">
        <v>76</v>
      </c>
      <c r="AM12" s="3" t="s">
        <v>223</v>
      </c>
      <c r="AN12" s="3" t="s">
        <v>224</v>
      </c>
      <c r="AO12" s="3" t="s">
        <v>225</v>
      </c>
      <c r="AP12" s="3" t="s">
        <v>80</v>
      </c>
      <c r="AQ12" s="3" t="s">
        <v>81</v>
      </c>
      <c r="AR12" s="3" t="s">
        <v>106</v>
      </c>
      <c r="AS12" s="8">
        <v>45750.0</v>
      </c>
      <c r="AT12" s="6">
        <v>33678777393</v>
      </c>
      <c r="AU12" s="3" t="s">
        <v>226</v>
      </c>
      <c r="AV12" s="3" t="s">
        <v>227</v>
      </c>
      <c r="AW12" s="3" t="b">
        <v>1</v>
      </c>
      <c r="AX12" s="3" t="s">
        <v>228</v>
      </c>
      <c r="AY12" s="3" t="s">
        <v>229</v>
      </c>
      <c r="AZ12" s="3" t="s">
        <v>230</v>
      </c>
      <c r="BA12" s="3" t="s">
        <v>86</v>
      </c>
      <c r="BE12" s="3">
        <v>39.0</v>
      </c>
      <c r="BF12" s="3" t="s">
        <v>87</v>
      </c>
    </row>
    <row r="13">
      <c r="A13" s="2">
        <v>45921.85400690972</v>
      </c>
      <c r="B13" s="3" t="s">
        <v>231</v>
      </c>
      <c r="C13" s="7">
        <v>35.0</v>
      </c>
      <c r="D13" s="3" t="s">
        <v>114</v>
      </c>
      <c r="E13" s="3" t="s">
        <v>66</v>
      </c>
      <c r="F13" s="3" t="s">
        <v>232</v>
      </c>
      <c r="G13" s="3" t="s">
        <v>68</v>
      </c>
      <c r="H13" s="5">
        <v>2000.0</v>
      </c>
      <c r="I13" s="3" t="s">
        <v>233</v>
      </c>
      <c r="J13" s="3" t="b">
        <v>0</v>
      </c>
      <c r="L13" s="3" t="s">
        <v>70</v>
      </c>
      <c r="M13" s="3" t="s">
        <v>71</v>
      </c>
      <c r="N13" s="3" t="s">
        <v>72</v>
      </c>
      <c r="O13" s="3" t="s">
        <v>93</v>
      </c>
      <c r="P13" s="8">
        <v>45750.0</v>
      </c>
      <c r="Q13" s="3" t="s">
        <v>75</v>
      </c>
      <c r="R13" s="3" t="s">
        <v>76</v>
      </c>
      <c r="S13" s="3" t="s">
        <v>76</v>
      </c>
      <c r="T13" s="3" t="s">
        <v>76</v>
      </c>
      <c r="U13" s="3" t="s">
        <v>76</v>
      </c>
      <c r="V13" s="3" t="s">
        <v>76</v>
      </c>
      <c r="Y13" s="3" t="s">
        <v>76</v>
      </c>
      <c r="Z13" s="3" t="s">
        <v>76</v>
      </c>
      <c r="AM13" s="3" t="s">
        <v>234</v>
      </c>
      <c r="AN13" s="3" t="s">
        <v>235</v>
      </c>
      <c r="AO13" s="3" t="s">
        <v>195</v>
      </c>
      <c r="AP13" s="3" t="s">
        <v>236</v>
      </c>
      <c r="AQ13" s="3" t="s">
        <v>81</v>
      </c>
      <c r="AR13" s="3" t="s">
        <v>121</v>
      </c>
      <c r="AS13" s="3">
        <v>1.0</v>
      </c>
      <c r="AT13" s="6">
        <v>221771473943</v>
      </c>
      <c r="AU13" s="3" t="s">
        <v>237</v>
      </c>
      <c r="AV13" s="3" t="s">
        <v>238</v>
      </c>
      <c r="AW13" s="3" t="b">
        <v>1</v>
      </c>
      <c r="AY13" s="3" t="s">
        <v>239</v>
      </c>
      <c r="AZ13" s="3" t="s">
        <v>240</v>
      </c>
      <c r="BA13" s="3" t="s">
        <v>86</v>
      </c>
      <c r="BE13" s="3">
        <v>39.0</v>
      </c>
      <c r="BF13" s="3" t="s">
        <v>87</v>
      </c>
    </row>
    <row r="14">
      <c r="A14" s="2">
        <v>45921.85605163194</v>
      </c>
      <c r="B14" s="3" t="s">
        <v>241</v>
      </c>
      <c r="C14" s="7">
        <v>20.0</v>
      </c>
      <c r="D14" s="3" t="s">
        <v>114</v>
      </c>
      <c r="E14" s="3" t="s">
        <v>66</v>
      </c>
      <c r="F14" s="3" t="s">
        <v>242</v>
      </c>
      <c r="G14" s="3" t="s">
        <v>68</v>
      </c>
      <c r="H14" s="5">
        <v>2000.0</v>
      </c>
      <c r="I14" s="3" t="s">
        <v>243</v>
      </c>
      <c r="J14" s="3" t="b">
        <v>0</v>
      </c>
      <c r="L14" s="3" t="s">
        <v>70</v>
      </c>
      <c r="M14" s="3" t="s">
        <v>71</v>
      </c>
      <c r="N14" s="3" t="s">
        <v>72</v>
      </c>
      <c r="O14" s="3" t="s">
        <v>73</v>
      </c>
      <c r="P14" s="3" t="s">
        <v>74</v>
      </c>
      <c r="Q14" s="3" t="s">
        <v>75</v>
      </c>
      <c r="R14" s="3" t="s">
        <v>76</v>
      </c>
      <c r="S14" s="3" t="s">
        <v>76</v>
      </c>
      <c r="T14" s="3" t="s">
        <v>76</v>
      </c>
      <c r="U14" s="3" t="s">
        <v>76</v>
      </c>
      <c r="V14" s="3" t="s">
        <v>76</v>
      </c>
      <c r="Y14" s="3" t="s">
        <v>76</v>
      </c>
      <c r="Z14" s="3" t="s">
        <v>76</v>
      </c>
      <c r="AM14" s="3" t="s">
        <v>118</v>
      </c>
      <c r="AN14" s="3" t="s">
        <v>119</v>
      </c>
      <c r="AO14" s="3" t="s">
        <v>79</v>
      </c>
      <c r="AP14" s="3" t="s">
        <v>80</v>
      </c>
      <c r="AQ14" s="3">
        <v>5.0</v>
      </c>
      <c r="AR14" s="3" t="s">
        <v>121</v>
      </c>
      <c r="AS14" s="3">
        <v>1.0</v>
      </c>
      <c r="AT14" s="3">
        <v>7.75208598E8</v>
      </c>
      <c r="AW14" s="3" t="b">
        <v>0</v>
      </c>
      <c r="AY14" s="3" t="s">
        <v>244</v>
      </c>
      <c r="BA14" s="3" t="s">
        <v>86</v>
      </c>
      <c r="BE14" s="3">
        <v>39.0</v>
      </c>
      <c r="BF14" s="3" t="s">
        <v>87</v>
      </c>
    </row>
    <row r="15">
      <c r="A15" s="2">
        <v>45921.86114936342</v>
      </c>
      <c r="B15" s="3" t="s">
        <v>245</v>
      </c>
      <c r="C15" s="7">
        <v>15.0</v>
      </c>
      <c r="D15" s="3" t="s">
        <v>114</v>
      </c>
      <c r="E15" s="3" t="s">
        <v>66</v>
      </c>
      <c r="F15" s="3" t="s">
        <v>246</v>
      </c>
      <c r="G15" s="3" t="s">
        <v>68</v>
      </c>
      <c r="H15" s="5">
        <v>2000.0</v>
      </c>
      <c r="I15" s="3" t="s">
        <v>247</v>
      </c>
      <c r="J15" s="3" t="b">
        <v>0</v>
      </c>
      <c r="L15" s="3" t="s">
        <v>70</v>
      </c>
      <c r="M15" s="3" t="s">
        <v>71</v>
      </c>
      <c r="N15" s="3" t="s">
        <v>72</v>
      </c>
      <c r="O15" s="3" t="s">
        <v>93</v>
      </c>
      <c r="P15" s="3">
        <v>2.0</v>
      </c>
      <c r="Q15" s="3" t="s">
        <v>75</v>
      </c>
      <c r="R15" s="3" t="s">
        <v>76</v>
      </c>
      <c r="S15" s="3" t="s">
        <v>76</v>
      </c>
      <c r="T15" s="3" t="s">
        <v>76</v>
      </c>
      <c r="U15" s="3" t="s">
        <v>76</v>
      </c>
      <c r="V15" s="3" t="s">
        <v>76</v>
      </c>
      <c r="Y15" s="3" t="s">
        <v>76</v>
      </c>
      <c r="Z15" s="3" t="s">
        <v>76</v>
      </c>
      <c r="AM15" s="3" t="s">
        <v>234</v>
      </c>
      <c r="AN15" s="3" t="s">
        <v>119</v>
      </c>
      <c r="AO15" s="3" t="s">
        <v>120</v>
      </c>
      <c r="AP15" s="3" t="s">
        <v>236</v>
      </c>
      <c r="AQ15" s="3">
        <v>5.0</v>
      </c>
      <c r="AR15" s="3" t="s">
        <v>106</v>
      </c>
      <c r="AS15" s="3">
        <v>1.0</v>
      </c>
      <c r="AT15" s="6">
        <v>33643620803</v>
      </c>
      <c r="AW15" s="3" t="b">
        <v>0</v>
      </c>
      <c r="AX15" s="3" t="s">
        <v>248</v>
      </c>
      <c r="AY15" s="3" t="s">
        <v>249</v>
      </c>
      <c r="AZ15" s="3" t="s">
        <v>250</v>
      </c>
      <c r="BA15" s="3" t="s">
        <v>190</v>
      </c>
      <c r="BE15" s="3">
        <v>39.0</v>
      </c>
      <c r="BF15" s="3" t="s">
        <v>87</v>
      </c>
    </row>
    <row r="16">
      <c r="A16" s="2">
        <v>45921.86522857639</v>
      </c>
      <c r="B16" s="3" t="s">
        <v>251</v>
      </c>
      <c r="C16" s="7">
        <v>15.0</v>
      </c>
      <c r="D16" s="3" t="s">
        <v>114</v>
      </c>
      <c r="E16" s="3" t="s">
        <v>66</v>
      </c>
      <c r="F16" s="3" t="s">
        <v>252</v>
      </c>
      <c r="G16" s="3" t="s">
        <v>68</v>
      </c>
      <c r="H16" s="5">
        <v>2000.0</v>
      </c>
      <c r="I16" s="3" t="s">
        <v>253</v>
      </c>
      <c r="J16" s="3" t="b">
        <v>0</v>
      </c>
      <c r="L16" s="3" t="s">
        <v>70</v>
      </c>
      <c r="M16" s="3" t="s">
        <v>71</v>
      </c>
      <c r="N16" s="3" t="s">
        <v>72</v>
      </c>
      <c r="O16" s="3" t="s">
        <v>73</v>
      </c>
      <c r="P16" s="8">
        <v>45750.0</v>
      </c>
      <c r="Q16" s="3" t="s">
        <v>160</v>
      </c>
      <c r="R16" s="3" t="s">
        <v>76</v>
      </c>
      <c r="S16" s="3" t="s">
        <v>76</v>
      </c>
      <c r="T16" s="3" t="s">
        <v>76</v>
      </c>
      <c r="U16" s="3" t="s">
        <v>76</v>
      </c>
      <c r="V16" s="3" t="s">
        <v>76</v>
      </c>
      <c r="Y16" s="3" t="s">
        <v>76</v>
      </c>
      <c r="Z16" s="3" t="s">
        <v>76</v>
      </c>
      <c r="AM16" s="3" t="s">
        <v>254</v>
      </c>
      <c r="AN16" s="3" t="s">
        <v>255</v>
      </c>
      <c r="AO16" s="3" t="s">
        <v>256</v>
      </c>
      <c r="AP16" s="3" t="s">
        <v>196</v>
      </c>
      <c r="AQ16" s="3" t="s">
        <v>81</v>
      </c>
      <c r="AR16" s="3" t="s">
        <v>106</v>
      </c>
      <c r="AS16" s="3">
        <v>1.0</v>
      </c>
      <c r="AT16" s="6">
        <v>33766513239</v>
      </c>
      <c r="AW16" s="3" t="b">
        <v>0</v>
      </c>
      <c r="AY16" s="3" t="s">
        <v>197</v>
      </c>
      <c r="BA16" s="3" t="s">
        <v>190</v>
      </c>
      <c r="BE16" s="3">
        <v>39.0</v>
      </c>
      <c r="BF16" s="3" t="s">
        <v>87</v>
      </c>
    </row>
    <row r="17">
      <c r="A17" s="2">
        <v>45921.867653113426</v>
      </c>
      <c r="B17" s="3" t="s">
        <v>257</v>
      </c>
      <c r="C17" s="4">
        <v>45.0</v>
      </c>
      <c r="D17" s="3" t="s">
        <v>65</v>
      </c>
      <c r="E17" s="3" t="s">
        <v>66</v>
      </c>
      <c r="F17" s="3" t="s">
        <v>258</v>
      </c>
      <c r="G17" s="3" t="s">
        <v>68</v>
      </c>
      <c r="H17" s="5">
        <v>2000.0</v>
      </c>
      <c r="I17" s="3" t="s">
        <v>259</v>
      </c>
      <c r="J17" s="3" t="b">
        <v>0</v>
      </c>
      <c r="L17" s="3" t="s">
        <v>70</v>
      </c>
      <c r="M17" s="3" t="s">
        <v>71</v>
      </c>
      <c r="N17" s="3" t="s">
        <v>72</v>
      </c>
      <c r="O17" s="3" t="s">
        <v>117</v>
      </c>
      <c r="P17" s="8">
        <v>45813.0</v>
      </c>
      <c r="Q17" s="3" t="s">
        <v>129</v>
      </c>
      <c r="R17" s="3" t="s">
        <v>76</v>
      </c>
      <c r="S17" s="3" t="s">
        <v>76</v>
      </c>
      <c r="T17" s="3" t="s">
        <v>76</v>
      </c>
      <c r="U17" s="3" t="s">
        <v>76</v>
      </c>
      <c r="V17" s="3" t="s">
        <v>76</v>
      </c>
      <c r="Y17" s="3" t="s">
        <v>76</v>
      </c>
      <c r="Z17" s="3" t="s">
        <v>76</v>
      </c>
      <c r="AM17" s="3" t="s">
        <v>118</v>
      </c>
      <c r="AN17" s="3" t="s">
        <v>235</v>
      </c>
      <c r="AO17" s="3" t="s">
        <v>260</v>
      </c>
      <c r="AP17" s="3" t="s">
        <v>80</v>
      </c>
      <c r="AQ17" s="3" t="s">
        <v>81</v>
      </c>
      <c r="AR17" s="3" t="s">
        <v>106</v>
      </c>
      <c r="AS17" s="3" t="s">
        <v>261</v>
      </c>
      <c r="AT17" s="3">
        <v>7.71879653E8</v>
      </c>
      <c r="AU17" s="3" t="s">
        <v>262</v>
      </c>
      <c r="AV17" s="3" t="s">
        <v>263</v>
      </c>
      <c r="AW17" s="3" t="b">
        <v>1</v>
      </c>
      <c r="AY17" s="3" t="s">
        <v>239</v>
      </c>
      <c r="AZ17" s="3" t="s">
        <v>264</v>
      </c>
      <c r="BA17" s="3" t="s">
        <v>86</v>
      </c>
      <c r="BE17" s="3">
        <v>39.0</v>
      </c>
      <c r="BF17" s="3" t="s">
        <v>87</v>
      </c>
    </row>
    <row r="18">
      <c r="A18" s="2">
        <v>45921.878034953705</v>
      </c>
      <c r="B18" s="3" t="s">
        <v>265</v>
      </c>
      <c r="C18" s="7">
        <v>20.0</v>
      </c>
      <c r="D18" s="3" t="s">
        <v>114</v>
      </c>
      <c r="E18" s="3" t="s">
        <v>66</v>
      </c>
      <c r="F18" s="3" t="s">
        <v>266</v>
      </c>
      <c r="G18" s="3" t="s">
        <v>68</v>
      </c>
      <c r="H18" s="5">
        <v>2000.0</v>
      </c>
      <c r="I18" s="3" t="s">
        <v>267</v>
      </c>
      <c r="J18" s="3" t="b">
        <v>0</v>
      </c>
      <c r="L18" s="3" t="s">
        <v>70</v>
      </c>
      <c r="M18" s="3" t="s">
        <v>71</v>
      </c>
      <c r="N18" s="3" t="s">
        <v>72</v>
      </c>
      <c r="O18" s="3" t="s">
        <v>93</v>
      </c>
      <c r="P18" s="3" t="s">
        <v>74</v>
      </c>
      <c r="Q18" s="3" t="s">
        <v>129</v>
      </c>
      <c r="R18" s="3" t="s">
        <v>76</v>
      </c>
      <c r="S18" s="3" t="s">
        <v>76</v>
      </c>
      <c r="T18" s="3" t="s">
        <v>76</v>
      </c>
      <c r="U18" s="3" t="s">
        <v>76</v>
      </c>
      <c r="V18" s="3" t="s">
        <v>76</v>
      </c>
      <c r="Y18" s="3" t="s">
        <v>76</v>
      </c>
      <c r="Z18" s="3" t="s">
        <v>76</v>
      </c>
      <c r="AM18" s="3" t="s">
        <v>268</v>
      </c>
      <c r="AN18" s="3" t="s">
        <v>269</v>
      </c>
      <c r="AO18" s="3" t="s">
        <v>270</v>
      </c>
      <c r="AP18" s="3" t="s">
        <v>236</v>
      </c>
      <c r="AQ18" s="3">
        <v>10.0</v>
      </c>
      <c r="AR18" s="3" t="s">
        <v>106</v>
      </c>
      <c r="AS18" s="3">
        <v>1.0</v>
      </c>
      <c r="AT18" s="6">
        <v>33766428870</v>
      </c>
      <c r="AU18" s="3" t="s">
        <v>271</v>
      </c>
      <c r="AV18" s="3" t="s">
        <v>272</v>
      </c>
      <c r="AW18" s="3" t="b">
        <v>0</v>
      </c>
      <c r="AY18" s="3" t="s">
        <v>273</v>
      </c>
      <c r="BA18" s="3" t="s">
        <v>86</v>
      </c>
      <c r="BE18" s="3">
        <v>39.0</v>
      </c>
      <c r="BF18" s="3" t="s">
        <v>87</v>
      </c>
    </row>
    <row r="19">
      <c r="A19" s="2">
        <v>45921.88558891204</v>
      </c>
      <c r="B19" s="3" t="s">
        <v>274</v>
      </c>
      <c r="C19" s="9">
        <v>70.0</v>
      </c>
      <c r="D19" s="3" t="s">
        <v>125</v>
      </c>
      <c r="E19" s="3" t="s">
        <v>66</v>
      </c>
      <c r="F19" s="3" t="s">
        <v>275</v>
      </c>
      <c r="G19" s="3" t="s">
        <v>68</v>
      </c>
      <c r="H19" s="5">
        <v>2000.0</v>
      </c>
      <c r="I19" s="3" t="s">
        <v>276</v>
      </c>
      <c r="J19" s="3" t="b">
        <v>0</v>
      </c>
      <c r="L19" s="3" t="s">
        <v>91</v>
      </c>
      <c r="M19" s="3" t="s">
        <v>177</v>
      </c>
      <c r="O19" s="3" t="s">
        <v>216</v>
      </c>
      <c r="P19" s="8">
        <v>45813.0</v>
      </c>
      <c r="Q19" s="3" t="s">
        <v>75</v>
      </c>
      <c r="R19" s="3" t="s">
        <v>201</v>
      </c>
      <c r="S19" s="3" t="s">
        <v>82</v>
      </c>
      <c r="T19" s="3" t="s">
        <v>146</v>
      </c>
      <c r="U19" s="3" t="s">
        <v>162</v>
      </c>
      <c r="V19" s="3" t="s">
        <v>277</v>
      </c>
      <c r="W19" s="3" t="s">
        <v>148</v>
      </c>
      <c r="X19" s="3" t="s">
        <v>278</v>
      </c>
      <c r="Y19" s="3" t="s">
        <v>149</v>
      </c>
      <c r="Z19" s="3" t="s">
        <v>150</v>
      </c>
      <c r="AA19" s="3" t="s">
        <v>206</v>
      </c>
      <c r="AB19" s="3" t="s">
        <v>184</v>
      </c>
      <c r="AC19" s="3">
        <v>4.0</v>
      </c>
      <c r="AD19" s="3" t="s">
        <v>207</v>
      </c>
      <c r="AE19" s="3" t="s">
        <v>137</v>
      </c>
      <c r="AF19" s="3">
        <v>4000.0</v>
      </c>
      <c r="AG19" s="3">
        <v>5000.0</v>
      </c>
      <c r="AH19" s="3">
        <v>0.0</v>
      </c>
      <c r="AI19" s="3" t="s">
        <v>145</v>
      </c>
      <c r="AJ19" s="3" t="s">
        <v>279</v>
      </c>
      <c r="AL19" s="3" t="s">
        <v>280</v>
      </c>
      <c r="AT19" s="3">
        <v>7.74371616E8</v>
      </c>
      <c r="AW19" s="3" t="b">
        <v>0</v>
      </c>
      <c r="BB19" s="3" t="s">
        <v>189</v>
      </c>
      <c r="BD19" s="3" t="s">
        <v>86</v>
      </c>
      <c r="BE19" s="3">
        <v>39.0</v>
      </c>
      <c r="BF19" s="3" t="s">
        <v>87</v>
      </c>
    </row>
    <row r="20">
      <c r="A20" s="2">
        <v>45921.93017358796</v>
      </c>
      <c r="B20" s="3" t="s">
        <v>281</v>
      </c>
      <c r="C20" s="4">
        <v>48.0</v>
      </c>
      <c r="D20" s="3" t="s">
        <v>65</v>
      </c>
      <c r="E20" s="3" t="s">
        <v>66</v>
      </c>
      <c r="F20" s="3" t="s">
        <v>282</v>
      </c>
      <c r="G20" s="3" t="s">
        <v>68</v>
      </c>
      <c r="H20" s="5">
        <v>2000.0</v>
      </c>
      <c r="I20" s="3" t="s">
        <v>283</v>
      </c>
      <c r="J20" s="3" t="b">
        <v>0</v>
      </c>
      <c r="L20" s="3" t="s">
        <v>91</v>
      </c>
      <c r="M20" s="3" t="s">
        <v>284</v>
      </c>
      <c r="O20" s="3" t="s">
        <v>285</v>
      </c>
      <c r="P20" s="3" t="s">
        <v>74</v>
      </c>
      <c r="Q20" s="3" t="s">
        <v>286</v>
      </c>
      <c r="R20" s="3" t="s">
        <v>161</v>
      </c>
      <c r="S20" s="3" t="s">
        <v>82</v>
      </c>
      <c r="T20" s="3" t="s">
        <v>202</v>
      </c>
      <c r="U20" s="3" t="s">
        <v>287</v>
      </c>
      <c r="V20" s="3" t="s">
        <v>288</v>
      </c>
      <c r="W20" s="3" t="s">
        <v>95</v>
      </c>
      <c r="X20" s="3" t="s">
        <v>133</v>
      </c>
      <c r="Y20" s="3" t="s">
        <v>205</v>
      </c>
      <c r="Z20" s="3" t="s">
        <v>150</v>
      </c>
      <c r="AA20" s="3" t="s">
        <v>102</v>
      </c>
      <c r="AB20" s="3" t="s">
        <v>205</v>
      </c>
      <c r="AC20" s="3">
        <v>3.0</v>
      </c>
      <c r="AD20" s="3" t="s">
        <v>289</v>
      </c>
      <c r="AE20" s="3" t="s">
        <v>105</v>
      </c>
      <c r="AF20" s="3">
        <v>3500.0</v>
      </c>
      <c r="AG20" s="3">
        <v>4000.0</v>
      </c>
      <c r="AH20" s="3">
        <v>500.0</v>
      </c>
      <c r="AI20" s="3" t="s">
        <v>169</v>
      </c>
      <c r="AJ20" s="3" t="s">
        <v>138</v>
      </c>
      <c r="AL20" s="3" t="s">
        <v>290</v>
      </c>
      <c r="AT20" s="6">
        <v>221776316327</v>
      </c>
      <c r="AW20" s="3" t="b">
        <v>0</v>
      </c>
      <c r="BB20" s="3" t="s">
        <v>291</v>
      </c>
      <c r="BD20" s="3" t="s">
        <v>86</v>
      </c>
      <c r="BE20" s="3">
        <v>39.0</v>
      </c>
      <c r="BF20" s="3" t="s">
        <v>87</v>
      </c>
    </row>
    <row r="21">
      <c r="A21" s="2">
        <v>45921.943944722225</v>
      </c>
      <c r="B21" s="3" t="s">
        <v>292</v>
      </c>
      <c r="C21" s="7">
        <v>20.0</v>
      </c>
      <c r="D21" s="3" t="s">
        <v>114</v>
      </c>
      <c r="E21" s="3" t="s">
        <v>66</v>
      </c>
      <c r="F21" s="3" t="s">
        <v>293</v>
      </c>
      <c r="G21" s="3" t="s">
        <v>68</v>
      </c>
      <c r="H21" s="5">
        <v>2000.0</v>
      </c>
      <c r="I21" s="3" t="s">
        <v>294</v>
      </c>
      <c r="J21" s="3" t="b">
        <v>0</v>
      </c>
      <c r="L21" s="3" t="s">
        <v>70</v>
      </c>
      <c r="M21" s="3" t="s">
        <v>71</v>
      </c>
      <c r="N21" s="3" t="s">
        <v>72</v>
      </c>
      <c r="O21" s="3" t="s">
        <v>73</v>
      </c>
      <c r="P21" s="3" t="s">
        <v>74</v>
      </c>
      <c r="Q21" s="3" t="s">
        <v>160</v>
      </c>
      <c r="R21" s="3" t="s">
        <v>76</v>
      </c>
      <c r="S21" s="3" t="s">
        <v>76</v>
      </c>
      <c r="T21" s="3" t="s">
        <v>76</v>
      </c>
      <c r="U21" s="3" t="s">
        <v>76</v>
      </c>
      <c r="V21" s="3" t="s">
        <v>76</v>
      </c>
      <c r="Y21" s="3" t="s">
        <v>76</v>
      </c>
      <c r="Z21" s="3" t="s">
        <v>76</v>
      </c>
      <c r="AM21" s="3" t="s">
        <v>118</v>
      </c>
      <c r="AN21" s="3" t="s">
        <v>295</v>
      </c>
      <c r="AO21" s="3" t="s">
        <v>167</v>
      </c>
      <c r="AP21" s="3" t="s">
        <v>236</v>
      </c>
      <c r="AQ21" s="3" t="s">
        <v>81</v>
      </c>
      <c r="AR21" s="3" t="s">
        <v>296</v>
      </c>
      <c r="AS21" s="3">
        <v>1.0</v>
      </c>
      <c r="AT21" s="3">
        <v>7.64150628E8</v>
      </c>
      <c r="AW21" s="3" t="b">
        <v>0</v>
      </c>
      <c r="AY21" s="3" t="s">
        <v>297</v>
      </c>
      <c r="BA21" s="3" t="s">
        <v>86</v>
      </c>
      <c r="BE21" s="3">
        <v>39.0</v>
      </c>
      <c r="BF21" s="3" t="s">
        <v>87</v>
      </c>
    </row>
    <row r="22">
      <c r="A22" s="2">
        <v>45921.945593055556</v>
      </c>
      <c r="B22" s="3" t="s">
        <v>298</v>
      </c>
      <c r="C22" s="7">
        <v>35.0</v>
      </c>
      <c r="D22" s="3" t="s">
        <v>114</v>
      </c>
      <c r="E22" s="3" t="s">
        <v>66</v>
      </c>
      <c r="F22" s="3" t="s">
        <v>299</v>
      </c>
      <c r="G22" s="3" t="s">
        <v>68</v>
      </c>
      <c r="H22" s="5">
        <v>2000.0</v>
      </c>
      <c r="I22" s="3" t="s">
        <v>300</v>
      </c>
      <c r="J22" s="3" t="b">
        <v>0</v>
      </c>
      <c r="L22" s="3" t="s">
        <v>70</v>
      </c>
      <c r="M22" s="3" t="s">
        <v>71</v>
      </c>
      <c r="N22" s="3" t="s">
        <v>72</v>
      </c>
      <c r="O22" s="3" t="s">
        <v>93</v>
      </c>
      <c r="P22" s="3" t="s">
        <v>74</v>
      </c>
      <c r="Q22" s="3" t="s">
        <v>129</v>
      </c>
      <c r="R22" s="3" t="s">
        <v>76</v>
      </c>
      <c r="S22" s="3" t="s">
        <v>76</v>
      </c>
      <c r="T22" s="3" t="s">
        <v>76</v>
      </c>
      <c r="U22" s="3" t="s">
        <v>76</v>
      </c>
      <c r="V22" s="3" t="s">
        <v>76</v>
      </c>
      <c r="Y22" s="3" t="s">
        <v>76</v>
      </c>
      <c r="Z22" s="3" t="s">
        <v>76</v>
      </c>
      <c r="AM22" s="3" t="s">
        <v>301</v>
      </c>
      <c r="AN22" s="3" t="s">
        <v>235</v>
      </c>
      <c r="AO22" s="3" t="s">
        <v>302</v>
      </c>
      <c r="AP22" s="3" t="s">
        <v>80</v>
      </c>
      <c r="AQ22" s="3">
        <v>0.0</v>
      </c>
      <c r="AR22" s="3" t="s">
        <v>106</v>
      </c>
      <c r="AS22" s="3">
        <v>2.0</v>
      </c>
      <c r="AT22" s="6">
        <v>221771589808</v>
      </c>
      <c r="AU22" s="3" t="s">
        <v>303</v>
      </c>
      <c r="AV22" s="3" t="s">
        <v>238</v>
      </c>
      <c r="AW22" s="3" t="b">
        <v>1</v>
      </c>
      <c r="AX22" s="3" t="s">
        <v>304</v>
      </c>
      <c r="AY22" s="3" t="s">
        <v>305</v>
      </c>
      <c r="AZ22" s="3" t="s">
        <v>306</v>
      </c>
      <c r="BA22" s="3" t="s">
        <v>190</v>
      </c>
      <c r="BE22" s="3">
        <v>39.0</v>
      </c>
      <c r="BF22" s="3" t="s">
        <v>87</v>
      </c>
    </row>
    <row r="23">
      <c r="A23" s="2">
        <v>45921.94962355324</v>
      </c>
      <c r="B23" s="3" t="s">
        <v>307</v>
      </c>
      <c r="C23" s="9">
        <v>100.0</v>
      </c>
      <c r="D23" s="3" t="s">
        <v>125</v>
      </c>
      <c r="E23" s="3" t="s">
        <v>66</v>
      </c>
      <c r="F23" s="3" t="s">
        <v>308</v>
      </c>
      <c r="G23" s="3" t="s">
        <v>68</v>
      </c>
      <c r="H23" s="5">
        <v>2000.0</v>
      </c>
      <c r="I23" s="3" t="s">
        <v>309</v>
      </c>
      <c r="J23" s="3" t="b">
        <v>0</v>
      </c>
      <c r="L23" s="3" t="s">
        <v>91</v>
      </c>
      <c r="M23" s="3" t="s">
        <v>310</v>
      </c>
      <c r="O23" s="3" t="s">
        <v>117</v>
      </c>
      <c r="P23" s="8">
        <v>45813.0</v>
      </c>
      <c r="Q23" s="3" t="s">
        <v>311</v>
      </c>
      <c r="R23" s="3" t="s">
        <v>94</v>
      </c>
      <c r="S23" s="3" t="s">
        <v>82</v>
      </c>
      <c r="T23" s="3" t="s">
        <v>146</v>
      </c>
      <c r="U23" s="3" t="s">
        <v>312</v>
      </c>
      <c r="V23" s="3" t="s">
        <v>313</v>
      </c>
      <c r="W23" s="3" t="s">
        <v>148</v>
      </c>
      <c r="X23" s="3" t="s">
        <v>163</v>
      </c>
      <c r="Y23" s="3" t="s">
        <v>205</v>
      </c>
      <c r="Z23" s="3" t="s">
        <v>164</v>
      </c>
      <c r="AA23" s="3" t="s">
        <v>102</v>
      </c>
      <c r="AB23" s="3" t="s">
        <v>103</v>
      </c>
      <c r="AC23" s="3">
        <v>5.0</v>
      </c>
      <c r="AD23" s="3" t="s">
        <v>136</v>
      </c>
      <c r="AE23" s="3" t="s">
        <v>105</v>
      </c>
      <c r="AF23" s="3">
        <v>3000.0</v>
      </c>
      <c r="AG23" s="3">
        <v>8000.0</v>
      </c>
      <c r="AH23" s="3" t="s">
        <v>168</v>
      </c>
      <c r="AI23" s="3" t="s">
        <v>169</v>
      </c>
      <c r="AJ23" s="3" t="s">
        <v>153</v>
      </c>
      <c r="AL23" s="3" t="s">
        <v>290</v>
      </c>
      <c r="AT23" s="3">
        <v>7.81399294E8</v>
      </c>
      <c r="AW23" s="3" t="b">
        <v>1</v>
      </c>
      <c r="BB23" s="3" t="s">
        <v>189</v>
      </c>
      <c r="BC23" s="3" t="s">
        <v>314</v>
      </c>
      <c r="BD23" s="3" t="s">
        <v>86</v>
      </c>
      <c r="BE23" s="3">
        <v>39.0</v>
      </c>
      <c r="BF23" s="3" t="s">
        <v>87</v>
      </c>
    </row>
    <row r="24">
      <c r="A24" s="2">
        <v>45921.94990225694</v>
      </c>
      <c r="B24" s="3" t="s">
        <v>315</v>
      </c>
      <c r="C24" s="7">
        <v>10.0</v>
      </c>
      <c r="D24" s="3" t="s">
        <v>114</v>
      </c>
      <c r="E24" s="3" t="s">
        <v>66</v>
      </c>
      <c r="F24" s="3" t="s">
        <v>316</v>
      </c>
      <c r="G24" s="3" t="s">
        <v>68</v>
      </c>
      <c r="H24" s="5">
        <v>2000.0</v>
      </c>
      <c r="I24" s="3" t="s">
        <v>317</v>
      </c>
      <c r="J24" s="3" t="b">
        <v>0</v>
      </c>
      <c r="L24" s="3" t="s">
        <v>70</v>
      </c>
      <c r="M24" s="3" t="s">
        <v>71</v>
      </c>
      <c r="N24" s="3" t="s">
        <v>72</v>
      </c>
      <c r="O24" s="3" t="s">
        <v>216</v>
      </c>
      <c r="P24" s="8">
        <v>45813.0</v>
      </c>
      <c r="Q24" s="3" t="s">
        <v>160</v>
      </c>
      <c r="R24" s="3" t="s">
        <v>76</v>
      </c>
      <c r="S24" s="3" t="s">
        <v>76</v>
      </c>
      <c r="T24" s="3" t="s">
        <v>76</v>
      </c>
      <c r="U24" s="3" t="s">
        <v>76</v>
      </c>
      <c r="V24" s="3" t="s">
        <v>76</v>
      </c>
      <c r="Y24" s="3" t="s">
        <v>76</v>
      </c>
      <c r="Z24" s="3" t="s">
        <v>76</v>
      </c>
      <c r="AM24" s="3" t="s">
        <v>118</v>
      </c>
      <c r="AN24" s="3" t="s">
        <v>318</v>
      </c>
      <c r="AO24" s="3" t="s">
        <v>79</v>
      </c>
      <c r="AP24" s="3" t="s">
        <v>236</v>
      </c>
      <c r="AQ24" s="3">
        <v>5.0</v>
      </c>
      <c r="AR24" s="3" t="s">
        <v>106</v>
      </c>
      <c r="AS24" s="3">
        <v>1.0</v>
      </c>
      <c r="AT24" s="3">
        <v>7.60187896E8</v>
      </c>
      <c r="AW24" s="3" t="b">
        <v>0</v>
      </c>
      <c r="AY24" s="3" t="s">
        <v>297</v>
      </c>
      <c r="BA24" s="3" t="s">
        <v>319</v>
      </c>
      <c r="BE24" s="3">
        <v>39.0</v>
      </c>
      <c r="BF24" s="3" t="s">
        <v>87</v>
      </c>
    </row>
    <row r="25">
      <c r="A25" s="2">
        <v>45921.96439443287</v>
      </c>
      <c r="B25" s="3" t="s">
        <v>320</v>
      </c>
      <c r="C25" s="7">
        <v>35.0</v>
      </c>
      <c r="D25" s="3" t="s">
        <v>114</v>
      </c>
      <c r="E25" s="3" t="s">
        <v>66</v>
      </c>
      <c r="F25" s="3" t="s">
        <v>321</v>
      </c>
      <c r="G25" s="3" t="s">
        <v>68</v>
      </c>
      <c r="H25" s="5">
        <v>2000.0</v>
      </c>
      <c r="I25" s="3" t="s">
        <v>322</v>
      </c>
      <c r="J25" s="3" t="b">
        <v>0</v>
      </c>
      <c r="L25" s="3" t="s">
        <v>70</v>
      </c>
      <c r="M25" s="3" t="s">
        <v>71</v>
      </c>
      <c r="N25" s="3" t="s">
        <v>72</v>
      </c>
      <c r="O25" s="3" t="s">
        <v>117</v>
      </c>
      <c r="P25" s="3" t="s">
        <v>74</v>
      </c>
      <c r="Q25" s="3" t="s">
        <v>75</v>
      </c>
      <c r="R25" s="3" t="s">
        <v>76</v>
      </c>
      <c r="S25" s="3" t="s">
        <v>76</v>
      </c>
      <c r="T25" s="3" t="s">
        <v>76</v>
      </c>
      <c r="U25" s="3" t="s">
        <v>76</v>
      </c>
      <c r="V25" s="3" t="s">
        <v>76</v>
      </c>
      <c r="Y25" s="3" t="s">
        <v>76</v>
      </c>
      <c r="Z25" s="3" t="s">
        <v>76</v>
      </c>
      <c r="AM25" s="3" t="s">
        <v>77</v>
      </c>
      <c r="AN25" s="3" t="s">
        <v>235</v>
      </c>
      <c r="AO25" s="3" t="s">
        <v>323</v>
      </c>
      <c r="AP25" s="3" t="s">
        <v>80</v>
      </c>
      <c r="AR25" s="3" t="s">
        <v>296</v>
      </c>
      <c r="AS25" s="3" t="s">
        <v>261</v>
      </c>
      <c r="AT25" s="3">
        <v>7.75383091E8</v>
      </c>
      <c r="AU25" s="3" t="s">
        <v>324</v>
      </c>
      <c r="AV25" s="3" t="s">
        <v>325</v>
      </c>
      <c r="AW25" s="3" t="b">
        <v>1</v>
      </c>
      <c r="AX25" s="3" t="s">
        <v>304</v>
      </c>
      <c r="AY25" s="3" t="s">
        <v>239</v>
      </c>
      <c r="AZ25" s="3" t="s">
        <v>326</v>
      </c>
      <c r="BA25" s="3" t="s">
        <v>319</v>
      </c>
      <c r="BE25" s="3">
        <v>39.0</v>
      </c>
      <c r="BF25" s="3" t="s">
        <v>87</v>
      </c>
    </row>
    <row r="26">
      <c r="A26" s="2">
        <v>45921.974907083335</v>
      </c>
      <c r="B26" s="3" t="s">
        <v>327</v>
      </c>
      <c r="C26" s="7">
        <v>30.0</v>
      </c>
      <c r="D26" s="3" t="s">
        <v>114</v>
      </c>
      <c r="E26" s="3" t="s">
        <v>66</v>
      </c>
      <c r="F26" s="3" t="s">
        <v>328</v>
      </c>
      <c r="G26" s="3" t="s">
        <v>68</v>
      </c>
      <c r="H26" s="5">
        <v>2000.0</v>
      </c>
      <c r="I26" s="3" t="s">
        <v>329</v>
      </c>
      <c r="J26" s="3" t="b">
        <v>0</v>
      </c>
      <c r="L26" s="3" t="s">
        <v>70</v>
      </c>
      <c r="M26" s="3" t="s">
        <v>71</v>
      </c>
      <c r="N26" s="3" t="s">
        <v>72</v>
      </c>
      <c r="O26" s="3" t="s">
        <v>117</v>
      </c>
      <c r="P26" s="3" t="s">
        <v>74</v>
      </c>
      <c r="Q26" s="3" t="s">
        <v>160</v>
      </c>
      <c r="R26" s="3" t="s">
        <v>76</v>
      </c>
      <c r="S26" s="3" t="s">
        <v>76</v>
      </c>
      <c r="T26" s="3" t="s">
        <v>76</v>
      </c>
      <c r="U26" s="3" t="s">
        <v>76</v>
      </c>
      <c r="V26" s="3" t="s">
        <v>76</v>
      </c>
      <c r="Y26" s="3" t="s">
        <v>76</v>
      </c>
      <c r="Z26" s="3" t="s">
        <v>76</v>
      </c>
      <c r="AM26" s="3" t="s">
        <v>118</v>
      </c>
      <c r="AN26" s="3" t="s">
        <v>330</v>
      </c>
      <c r="AO26" s="3" t="s">
        <v>225</v>
      </c>
      <c r="AP26" s="3" t="s">
        <v>80</v>
      </c>
      <c r="AQ26" s="3">
        <v>0.0</v>
      </c>
      <c r="AR26" s="3" t="s">
        <v>121</v>
      </c>
      <c r="AS26" s="8">
        <v>45750.0</v>
      </c>
      <c r="AT26" s="6">
        <v>221762460682</v>
      </c>
      <c r="AW26" s="3" t="b">
        <v>0</v>
      </c>
      <c r="AY26" s="3" t="s">
        <v>219</v>
      </c>
      <c r="BA26" s="3" t="s">
        <v>86</v>
      </c>
      <c r="BE26" s="3">
        <v>39.0</v>
      </c>
      <c r="BF26" s="3" t="s">
        <v>87</v>
      </c>
    </row>
    <row r="27">
      <c r="A27" s="2">
        <v>45922.04133876157</v>
      </c>
      <c r="B27" s="3" t="s">
        <v>331</v>
      </c>
      <c r="C27" s="7">
        <v>20.0</v>
      </c>
      <c r="D27" s="3" t="s">
        <v>114</v>
      </c>
      <c r="E27" s="3" t="s">
        <v>66</v>
      </c>
      <c r="F27" s="3" t="s">
        <v>332</v>
      </c>
      <c r="G27" s="3" t="s">
        <v>68</v>
      </c>
      <c r="H27" s="5">
        <v>2000.0</v>
      </c>
      <c r="I27" s="3" t="s">
        <v>333</v>
      </c>
      <c r="J27" s="3" t="b">
        <v>0</v>
      </c>
      <c r="L27" s="3" t="s">
        <v>70</v>
      </c>
      <c r="M27" s="3" t="s">
        <v>71</v>
      </c>
      <c r="N27" s="3" t="s">
        <v>72</v>
      </c>
      <c r="O27" s="3" t="s">
        <v>117</v>
      </c>
      <c r="P27" s="3" t="s">
        <v>74</v>
      </c>
      <c r="Q27" s="3" t="s">
        <v>75</v>
      </c>
      <c r="R27" s="3" t="s">
        <v>76</v>
      </c>
      <c r="S27" s="3" t="s">
        <v>76</v>
      </c>
      <c r="T27" s="3" t="s">
        <v>76</v>
      </c>
      <c r="U27" s="3" t="s">
        <v>76</v>
      </c>
      <c r="V27" s="3" t="s">
        <v>76</v>
      </c>
      <c r="Y27" s="3" t="s">
        <v>76</v>
      </c>
      <c r="Z27" s="3" t="s">
        <v>76</v>
      </c>
      <c r="AM27" s="3" t="s">
        <v>118</v>
      </c>
      <c r="AN27" s="3" t="s">
        <v>119</v>
      </c>
      <c r="AO27" s="3" t="s">
        <v>334</v>
      </c>
      <c r="AP27" s="3" t="s">
        <v>80</v>
      </c>
      <c r="AQ27" s="3" t="s">
        <v>81</v>
      </c>
      <c r="AR27" s="3" t="s">
        <v>296</v>
      </c>
      <c r="AS27" s="3">
        <v>1.0</v>
      </c>
      <c r="AT27" s="6">
        <v>33753706540</v>
      </c>
      <c r="AU27" s="3" t="s">
        <v>335</v>
      </c>
      <c r="AV27" s="3" t="s">
        <v>336</v>
      </c>
      <c r="AW27" s="3" t="b">
        <v>0</v>
      </c>
      <c r="AY27" s="3" t="s">
        <v>337</v>
      </c>
      <c r="BA27" s="3" t="s">
        <v>86</v>
      </c>
      <c r="BE27" s="3">
        <v>39.0</v>
      </c>
      <c r="BF27" s="3" t="s">
        <v>87</v>
      </c>
    </row>
    <row r="28">
      <c r="A28" s="2">
        <v>45922.09386994213</v>
      </c>
      <c r="B28" s="3" t="s">
        <v>338</v>
      </c>
      <c r="C28" s="9">
        <v>90.0</v>
      </c>
      <c r="D28" s="3" t="s">
        <v>125</v>
      </c>
      <c r="E28" s="3" t="s">
        <v>66</v>
      </c>
      <c r="F28" s="3" t="s">
        <v>339</v>
      </c>
      <c r="G28" s="3" t="s">
        <v>68</v>
      </c>
      <c r="H28" s="5">
        <v>2000.0</v>
      </c>
      <c r="I28" s="3" t="s">
        <v>340</v>
      </c>
      <c r="J28" s="3" t="b">
        <v>0</v>
      </c>
      <c r="L28" s="3" t="s">
        <v>91</v>
      </c>
      <c r="M28" s="3" t="s">
        <v>177</v>
      </c>
      <c r="O28" s="3" t="s">
        <v>93</v>
      </c>
      <c r="P28" s="8">
        <v>45813.0</v>
      </c>
      <c r="Q28" s="3" t="s">
        <v>129</v>
      </c>
      <c r="R28" s="3" t="s">
        <v>341</v>
      </c>
      <c r="S28" s="3" t="s">
        <v>82</v>
      </c>
      <c r="T28" s="3" t="s">
        <v>178</v>
      </c>
      <c r="U28" s="3" t="s">
        <v>203</v>
      </c>
      <c r="V28" s="3" t="s">
        <v>180</v>
      </c>
      <c r="W28" s="3" t="s">
        <v>95</v>
      </c>
      <c r="X28" s="3" t="s">
        <v>204</v>
      </c>
      <c r="Y28" s="3" t="s">
        <v>205</v>
      </c>
      <c r="Z28" s="3" t="s">
        <v>134</v>
      </c>
      <c r="AA28" s="3" t="s">
        <v>342</v>
      </c>
      <c r="AB28" s="3" t="s">
        <v>184</v>
      </c>
      <c r="AC28" s="3">
        <v>4.0</v>
      </c>
      <c r="AD28" s="3" t="s">
        <v>343</v>
      </c>
      <c r="AE28" s="3" t="s">
        <v>344</v>
      </c>
      <c r="AF28" s="3">
        <v>10000.0</v>
      </c>
      <c r="AG28" s="3">
        <v>200000.0</v>
      </c>
      <c r="AH28" s="3">
        <v>1000.0</v>
      </c>
      <c r="AI28" s="3" t="s">
        <v>185</v>
      </c>
      <c r="AJ28" s="3" t="s">
        <v>345</v>
      </c>
      <c r="AL28" s="3" t="s">
        <v>186</v>
      </c>
      <c r="AT28" s="3">
        <v>7.07124934E8</v>
      </c>
      <c r="AU28" s="3" t="s">
        <v>346</v>
      </c>
      <c r="AV28" s="3" t="s">
        <v>347</v>
      </c>
      <c r="AW28" s="3" t="b">
        <v>1</v>
      </c>
      <c r="BD28" s="3" t="s">
        <v>86</v>
      </c>
      <c r="BE28" s="3">
        <v>39.0</v>
      </c>
      <c r="BF28" s="3" t="s">
        <v>87</v>
      </c>
    </row>
    <row r="29">
      <c r="A29" s="2">
        <v>45922.09466689815</v>
      </c>
      <c r="B29" s="3" t="s">
        <v>348</v>
      </c>
      <c r="C29" s="9">
        <v>90.0</v>
      </c>
      <c r="D29" s="3" t="s">
        <v>125</v>
      </c>
      <c r="E29" s="3" t="s">
        <v>66</v>
      </c>
      <c r="F29" s="3" t="s">
        <v>349</v>
      </c>
      <c r="G29" s="3" t="s">
        <v>68</v>
      </c>
      <c r="H29" s="5">
        <v>2000.0</v>
      </c>
      <c r="I29" s="3" t="s">
        <v>350</v>
      </c>
      <c r="J29" s="3" t="b">
        <v>0</v>
      </c>
      <c r="L29" s="3" t="s">
        <v>91</v>
      </c>
      <c r="M29" s="3" t="s">
        <v>128</v>
      </c>
      <c r="O29" s="3" t="s">
        <v>93</v>
      </c>
      <c r="P29" s="3">
        <v>1.0</v>
      </c>
      <c r="Q29" s="3" t="s">
        <v>75</v>
      </c>
      <c r="R29" s="3" t="s">
        <v>161</v>
      </c>
      <c r="S29" s="3" t="s">
        <v>148</v>
      </c>
      <c r="T29" s="3" t="s">
        <v>96</v>
      </c>
      <c r="U29" s="3" t="s">
        <v>179</v>
      </c>
      <c r="V29" s="3" t="s">
        <v>351</v>
      </c>
      <c r="W29" s="3" t="s">
        <v>148</v>
      </c>
      <c r="X29" s="3" t="s">
        <v>163</v>
      </c>
      <c r="Y29" s="3" t="s">
        <v>100</v>
      </c>
      <c r="Z29" s="3" t="s">
        <v>150</v>
      </c>
      <c r="AA29" s="3" t="s">
        <v>102</v>
      </c>
      <c r="AB29" s="3" t="s">
        <v>184</v>
      </c>
      <c r="AC29" s="3">
        <v>5.0</v>
      </c>
      <c r="AD29" s="3" t="s">
        <v>352</v>
      </c>
      <c r="AE29" s="3" t="s">
        <v>353</v>
      </c>
      <c r="AF29" s="3">
        <v>500.0</v>
      </c>
      <c r="AG29" s="3">
        <v>600.0</v>
      </c>
      <c r="AH29" s="3">
        <v>0.0</v>
      </c>
      <c r="AI29" s="3" t="s">
        <v>95</v>
      </c>
      <c r="AJ29" s="3" t="s">
        <v>345</v>
      </c>
      <c r="AL29" s="3" t="s">
        <v>209</v>
      </c>
      <c r="AT29" s="6">
        <v>221788512597</v>
      </c>
      <c r="AU29" s="3" t="s">
        <v>354</v>
      </c>
      <c r="AV29" s="3" t="s">
        <v>355</v>
      </c>
      <c r="AW29" s="3" t="b">
        <v>1</v>
      </c>
      <c r="BB29" s="3" t="s">
        <v>356</v>
      </c>
      <c r="BD29" s="3" t="s">
        <v>86</v>
      </c>
      <c r="BE29" s="3">
        <v>39.0</v>
      </c>
      <c r="BF29" s="3" t="s">
        <v>87</v>
      </c>
    </row>
    <row r="30">
      <c r="A30" s="2">
        <v>45922.15034064815</v>
      </c>
      <c r="B30" s="3" t="s">
        <v>357</v>
      </c>
      <c r="C30" s="9">
        <v>80.0</v>
      </c>
      <c r="D30" s="3" t="s">
        <v>125</v>
      </c>
      <c r="E30" s="3" t="s">
        <v>66</v>
      </c>
      <c r="F30" s="3" t="s">
        <v>358</v>
      </c>
      <c r="G30" s="3" t="s">
        <v>68</v>
      </c>
      <c r="H30" s="5">
        <v>2000.0</v>
      </c>
      <c r="I30" s="3" t="s">
        <v>359</v>
      </c>
      <c r="J30" s="3" t="b">
        <v>0</v>
      </c>
      <c r="L30" s="3" t="s">
        <v>91</v>
      </c>
      <c r="M30" s="3" t="s">
        <v>310</v>
      </c>
      <c r="O30" s="3" t="s">
        <v>117</v>
      </c>
      <c r="P30" s="8">
        <v>45750.0</v>
      </c>
      <c r="Q30" s="3" t="s">
        <v>160</v>
      </c>
      <c r="R30" s="3" t="s">
        <v>201</v>
      </c>
      <c r="S30" s="3" t="s">
        <v>148</v>
      </c>
      <c r="T30" s="3" t="s">
        <v>202</v>
      </c>
      <c r="U30" s="3" t="s">
        <v>162</v>
      </c>
      <c r="V30" s="3" t="s">
        <v>360</v>
      </c>
      <c r="W30" s="3" t="s">
        <v>361</v>
      </c>
      <c r="X30" s="3" t="s">
        <v>133</v>
      </c>
      <c r="Y30" s="3" t="s">
        <v>100</v>
      </c>
      <c r="Z30" s="3" t="s">
        <v>182</v>
      </c>
      <c r="AA30" s="3" t="s">
        <v>135</v>
      </c>
      <c r="AB30" s="3" t="s">
        <v>103</v>
      </c>
      <c r="AC30" s="3">
        <v>4.0</v>
      </c>
      <c r="AD30" s="3" t="s">
        <v>167</v>
      </c>
      <c r="AE30" s="3" t="s">
        <v>105</v>
      </c>
      <c r="AF30" s="3">
        <v>5000.0</v>
      </c>
      <c r="AG30" s="3">
        <v>7000.0</v>
      </c>
      <c r="AH30" s="3">
        <v>0.0</v>
      </c>
      <c r="AI30" s="3" t="s">
        <v>95</v>
      </c>
      <c r="AJ30" s="3" t="s">
        <v>107</v>
      </c>
      <c r="AL30" s="3" t="s">
        <v>209</v>
      </c>
      <c r="AT30" s="3">
        <v>7.78184072E8</v>
      </c>
      <c r="AU30" s="3" t="s">
        <v>362</v>
      </c>
      <c r="AV30" s="3" t="s">
        <v>363</v>
      </c>
      <c r="AW30" s="3" t="b">
        <v>1</v>
      </c>
      <c r="BB30" s="3" t="s">
        <v>364</v>
      </c>
      <c r="BD30" s="3" t="s">
        <v>86</v>
      </c>
      <c r="BE30" s="3">
        <v>39.0</v>
      </c>
      <c r="BF30" s="3" t="s">
        <v>87</v>
      </c>
    </row>
    <row r="31">
      <c r="A31" s="2">
        <v>45922.182547766206</v>
      </c>
      <c r="B31" s="3" t="s">
        <v>365</v>
      </c>
      <c r="C31" s="9">
        <v>75.0</v>
      </c>
      <c r="D31" s="3" t="s">
        <v>125</v>
      </c>
      <c r="E31" s="3" t="s">
        <v>66</v>
      </c>
      <c r="F31" s="3" t="s">
        <v>366</v>
      </c>
      <c r="G31" s="3" t="s">
        <v>68</v>
      </c>
      <c r="H31" s="5">
        <v>2000.0</v>
      </c>
      <c r="I31" s="3" t="s">
        <v>367</v>
      </c>
      <c r="J31" s="3" t="b">
        <v>0</v>
      </c>
      <c r="L31" s="3" t="s">
        <v>91</v>
      </c>
      <c r="M31" s="3" t="s">
        <v>284</v>
      </c>
      <c r="O31" s="3" t="s">
        <v>93</v>
      </c>
      <c r="P31" s="3" t="s">
        <v>74</v>
      </c>
      <c r="Q31" s="3" t="s">
        <v>129</v>
      </c>
      <c r="R31" s="3" t="s">
        <v>161</v>
      </c>
      <c r="S31" s="3" t="s">
        <v>95</v>
      </c>
      <c r="T31" s="3" t="s">
        <v>202</v>
      </c>
      <c r="U31" s="3" t="s">
        <v>368</v>
      </c>
      <c r="V31" s="3" t="s">
        <v>369</v>
      </c>
      <c r="W31" s="3" t="s">
        <v>95</v>
      </c>
      <c r="X31" s="3" t="s">
        <v>133</v>
      </c>
      <c r="Y31" s="3" t="s">
        <v>100</v>
      </c>
      <c r="Z31" s="3" t="s">
        <v>134</v>
      </c>
      <c r="AA31" s="3" t="s">
        <v>102</v>
      </c>
      <c r="AB31" s="3" t="s">
        <v>184</v>
      </c>
      <c r="AC31" s="3">
        <v>4.0</v>
      </c>
      <c r="AD31" s="3" t="s">
        <v>370</v>
      </c>
      <c r="AE31" s="3" t="s">
        <v>137</v>
      </c>
      <c r="AF31" s="3">
        <v>5000.0</v>
      </c>
      <c r="AG31" s="3">
        <v>10000.0</v>
      </c>
      <c r="AH31" s="3">
        <v>500.0</v>
      </c>
      <c r="AI31" s="3" t="s">
        <v>95</v>
      </c>
      <c r="AJ31" s="3" t="s">
        <v>138</v>
      </c>
      <c r="AL31" s="3" t="s">
        <v>371</v>
      </c>
      <c r="AT31" s="3">
        <v>7.87187176E8</v>
      </c>
      <c r="AU31" s="3" t="s">
        <v>372</v>
      </c>
      <c r="AW31" s="3" t="b">
        <v>1</v>
      </c>
      <c r="BB31" s="3" t="s">
        <v>373</v>
      </c>
      <c r="BD31" s="3" t="s">
        <v>190</v>
      </c>
      <c r="BE31" s="3">
        <v>39.0</v>
      </c>
      <c r="BF31" s="3" t="s">
        <v>87</v>
      </c>
    </row>
    <row r="32">
      <c r="A32" s="2">
        <v>45922.35350380787</v>
      </c>
      <c r="B32" s="3" t="s">
        <v>374</v>
      </c>
      <c r="C32" s="7">
        <v>20.0</v>
      </c>
      <c r="D32" s="3" t="s">
        <v>114</v>
      </c>
      <c r="E32" s="3" t="s">
        <v>66</v>
      </c>
      <c r="F32" s="3" t="s">
        <v>375</v>
      </c>
      <c r="G32" s="3" t="s">
        <v>68</v>
      </c>
      <c r="H32" s="5">
        <v>2000.0</v>
      </c>
      <c r="I32" s="3" t="s">
        <v>376</v>
      </c>
      <c r="J32" s="3" t="b">
        <v>0</v>
      </c>
      <c r="L32" s="3" t="s">
        <v>70</v>
      </c>
      <c r="M32" s="3" t="s">
        <v>71</v>
      </c>
      <c r="N32" s="3" t="s">
        <v>72</v>
      </c>
      <c r="O32" s="3" t="s">
        <v>93</v>
      </c>
      <c r="P32" s="8">
        <v>45813.0</v>
      </c>
      <c r="Q32" s="3" t="s">
        <v>75</v>
      </c>
      <c r="R32" s="3" t="s">
        <v>76</v>
      </c>
      <c r="S32" s="3" t="s">
        <v>76</v>
      </c>
      <c r="T32" s="3" t="s">
        <v>76</v>
      </c>
      <c r="U32" s="3" t="s">
        <v>76</v>
      </c>
      <c r="V32" s="3" t="s">
        <v>76</v>
      </c>
      <c r="Y32" s="3" t="s">
        <v>76</v>
      </c>
      <c r="Z32" s="3" t="s">
        <v>76</v>
      </c>
      <c r="AM32" s="3" t="s">
        <v>234</v>
      </c>
      <c r="AN32" s="3" t="s">
        <v>377</v>
      </c>
      <c r="AO32" s="3" t="s">
        <v>378</v>
      </c>
      <c r="AP32" s="3" t="s">
        <v>236</v>
      </c>
      <c r="AQ32" s="3">
        <v>0.0</v>
      </c>
      <c r="AR32" s="3" t="s">
        <v>106</v>
      </c>
      <c r="AS32" s="3">
        <v>1.0</v>
      </c>
      <c r="AT32" s="6">
        <v>33780806026</v>
      </c>
      <c r="AU32" s="3" t="s">
        <v>379</v>
      </c>
      <c r="AV32" s="3" t="s">
        <v>380</v>
      </c>
      <c r="AW32" s="3" t="b">
        <v>0</v>
      </c>
      <c r="AX32" s="3" t="s">
        <v>304</v>
      </c>
      <c r="AY32" s="3" t="s">
        <v>381</v>
      </c>
      <c r="AZ32" s="3" t="s">
        <v>382</v>
      </c>
      <c r="BA32" s="3" t="s">
        <v>86</v>
      </c>
      <c r="BE32" s="3">
        <v>39.0</v>
      </c>
      <c r="BF32" s="3" t="s">
        <v>87</v>
      </c>
    </row>
    <row r="33">
      <c r="A33" s="2">
        <v>45922.40136236111</v>
      </c>
      <c r="B33" s="3" t="s">
        <v>383</v>
      </c>
      <c r="C33" s="9">
        <v>85.0</v>
      </c>
      <c r="D33" s="3" t="s">
        <v>125</v>
      </c>
      <c r="E33" s="3" t="s">
        <v>66</v>
      </c>
      <c r="F33" s="3" t="s">
        <v>384</v>
      </c>
      <c r="G33" s="3" t="s">
        <v>68</v>
      </c>
      <c r="H33" s="5">
        <v>2000.0</v>
      </c>
      <c r="I33" s="3" t="s">
        <v>385</v>
      </c>
      <c r="J33" s="3" t="b">
        <v>0</v>
      </c>
      <c r="L33" s="3" t="s">
        <v>91</v>
      </c>
      <c r="M33" s="3" t="s">
        <v>144</v>
      </c>
      <c r="O33" s="3" t="s">
        <v>285</v>
      </c>
      <c r="P33" s="3" t="s">
        <v>74</v>
      </c>
      <c r="Q33" s="3" t="s">
        <v>160</v>
      </c>
      <c r="R33" s="3" t="s">
        <v>386</v>
      </c>
      <c r="S33" s="3" t="s">
        <v>121</v>
      </c>
      <c r="T33" s="3" t="s">
        <v>387</v>
      </c>
      <c r="U33" s="3" t="s">
        <v>388</v>
      </c>
      <c r="V33" s="3" t="s">
        <v>389</v>
      </c>
      <c r="W33" s="3" t="s">
        <v>390</v>
      </c>
      <c r="X33" s="3" t="s">
        <v>99</v>
      </c>
      <c r="Y33" s="3" t="s">
        <v>100</v>
      </c>
      <c r="Z33" s="3" t="s">
        <v>164</v>
      </c>
      <c r="AA33" s="3" t="s">
        <v>391</v>
      </c>
      <c r="AB33" s="3" t="s">
        <v>205</v>
      </c>
      <c r="AC33" s="3">
        <v>4.0</v>
      </c>
      <c r="AD33" s="3" t="s">
        <v>388</v>
      </c>
      <c r="AE33" s="3" t="s">
        <v>137</v>
      </c>
      <c r="AF33" s="3">
        <v>5000.0</v>
      </c>
      <c r="AG33" s="3">
        <v>6000.0</v>
      </c>
      <c r="AH33" s="3" t="s">
        <v>168</v>
      </c>
      <c r="AI33" s="3" t="s">
        <v>145</v>
      </c>
      <c r="AJ33" s="3" t="s">
        <v>153</v>
      </c>
      <c r="AL33" s="3" t="s">
        <v>209</v>
      </c>
      <c r="AT33" s="3">
        <v>7.6760808E8</v>
      </c>
      <c r="AV33" s="3" t="s">
        <v>392</v>
      </c>
      <c r="AW33" s="3" t="b">
        <v>1</v>
      </c>
      <c r="BB33" s="3" t="s">
        <v>189</v>
      </c>
      <c r="BD33" s="3" t="s">
        <v>86</v>
      </c>
      <c r="BE33" s="3">
        <v>39.0</v>
      </c>
      <c r="BF33" s="3" t="s">
        <v>87</v>
      </c>
    </row>
    <row r="34">
      <c r="A34" s="2">
        <v>45922.452037870375</v>
      </c>
      <c r="B34" s="3" t="s">
        <v>393</v>
      </c>
      <c r="C34" s="4">
        <v>68.0</v>
      </c>
      <c r="D34" s="3" t="s">
        <v>65</v>
      </c>
      <c r="E34" s="3" t="s">
        <v>66</v>
      </c>
      <c r="F34" s="3" t="s">
        <v>394</v>
      </c>
      <c r="G34" s="3" t="s">
        <v>68</v>
      </c>
      <c r="H34" s="5">
        <v>2000.0</v>
      </c>
      <c r="I34" s="3" t="s">
        <v>395</v>
      </c>
      <c r="J34" s="3" t="b">
        <v>0</v>
      </c>
      <c r="L34" s="3" t="s">
        <v>91</v>
      </c>
      <c r="M34" s="3" t="s">
        <v>177</v>
      </c>
      <c r="O34" s="3" t="s">
        <v>216</v>
      </c>
      <c r="P34" s="3" t="s">
        <v>74</v>
      </c>
      <c r="Q34" s="3" t="s">
        <v>75</v>
      </c>
      <c r="R34" s="3" t="s">
        <v>94</v>
      </c>
      <c r="S34" s="3" t="s">
        <v>82</v>
      </c>
      <c r="T34" s="3" t="s">
        <v>178</v>
      </c>
      <c r="U34" s="3" t="s">
        <v>396</v>
      </c>
      <c r="V34" s="3" t="s">
        <v>397</v>
      </c>
      <c r="W34" s="3" t="s">
        <v>148</v>
      </c>
      <c r="X34" s="3" t="s">
        <v>133</v>
      </c>
      <c r="Y34" s="3" t="s">
        <v>100</v>
      </c>
      <c r="Z34" s="3" t="s">
        <v>164</v>
      </c>
      <c r="AA34" s="3" t="s">
        <v>398</v>
      </c>
      <c r="AB34" s="3" t="s">
        <v>205</v>
      </c>
      <c r="AC34" s="3">
        <v>4.0</v>
      </c>
      <c r="AD34" s="3" t="s">
        <v>136</v>
      </c>
      <c r="AE34" s="3" t="s">
        <v>137</v>
      </c>
      <c r="AF34" s="3">
        <v>5000.0</v>
      </c>
      <c r="AG34" s="3">
        <v>7000.0</v>
      </c>
      <c r="AH34" s="3">
        <v>1500.0</v>
      </c>
      <c r="AI34" s="3" t="s">
        <v>169</v>
      </c>
      <c r="AJ34" s="3" t="s">
        <v>153</v>
      </c>
      <c r="AL34" s="3" t="s">
        <v>399</v>
      </c>
      <c r="AT34" s="6">
        <v>221776392337</v>
      </c>
      <c r="AW34" s="3" t="b">
        <v>0</v>
      </c>
      <c r="BB34" s="3" t="s">
        <v>400</v>
      </c>
      <c r="BD34" s="3" t="s">
        <v>86</v>
      </c>
      <c r="BE34" s="3">
        <v>39.0</v>
      </c>
      <c r="BF34" s="3" t="s">
        <v>87</v>
      </c>
    </row>
    <row r="35">
      <c r="A35" s="2">
        <v>45922.66286325231</v>
      </c>
      <c r="B35" s="3" t="s">
        <v>401</v>
      </c>
      <c r="C35" s="4">
        <v>40.0</v>
      </c>
      <c r="D35" s="3" t="s">
        <v>65</v>
      </c>
      <c r="E35" s="3" t="s">
        <v>66</v>
      </c>
      <c r="F35" s="3" t="s">
        <v>402</v>
      </c>
      <c r="G35" s="3" t="s">
        <v>68</v>
      </c>
      <c r="H35" s="5">
        <v>2000.0</v>
      </c>
      <c r="I35" s="3" t="s">
        <v>403</v>
      </c>
      <c r="J35" s="3" t="b">
        <v>0</v>
      </c>
      <c r="L35" s="3" t="s">
        <v>70</v>
      </c>
      <c r="M35" s="3" t="s">
        <v>71</v>
      </c>
      <c r="N35" s="3" t="s">
        <v>72</v>
      </c>
      <c r="O35" s="3" t="s">
        <v>93</v>
      </c>
      <c r="P35" s="8">
        <v>45813.0</v>
      </c>
      <c r="Q35" s="3" t="s">
        <v>311</v>
      </c>
      <c r="R35" s="3" t="s">
        <v>76</v>
      </c>
      <c r="S35" s="3" t="s">
        <v>76</v>
      </c>
      <c r="T35" s="3" t="s">
        <v>76</v>
      </c>
      <c r="U35" s="3" t="s">
        <v>76</v>
      </c>
      <c r="V35" s="3" t="s">
        <v>76</v>
      </c>
      <c r="Y35" s="3" t="s">
        <v>76</v>
      </c>
      <c r="Z35" s="3" t="s">
        <v>76</v>
      </c>
      <c r="AM35" s="3" t="s">
        <v>77</v>
      </c>
      <c r="AN35" s="3" t="s">
        <v>404</v>
      </c>
      <c r="AO35" s="3" t="s">
        <v>405</v>
      </c>
      <c r="AP35" s="3" t="s">
        <v>80</v>
      </c>
      <c r="AQ35" s="3" t="s">
        <v>81</v>
      </c>
      <c r="AR35" s="3" t="s">
        <v>106</v>
      </c>
      <c r="AS35" s="3">
        <v>2.0</v>
      </c>
      <c r="AT35" s="6">
        <v>33610536668</v>
      </c>
      <c r="AU35" s="3" t="s">
        <v>406</v>
      </c>
      <c r="AV35" s="3" t="s">
        <v>407</v>
      </c>
      <c r="AW35" s="3" t="b">
        <v>1</v>
      </c>
      <c r="AY35" s="3" t="s">
        <v>408</v>
      </c>
      <c r="AZ35" s="3" t="s">
        <v>409</v>
      </c>
      <c r="BA35" s="3" t="s">
        <v>86</v>
      </c>
      <c r="BE35" s="3">
        <v>39.0</v>
      </c>
      <c r="BF35" s="3" t="s">
        <v>87</v>
      </c>
    </row>
    <row r="36">
      <c r="A36" s="2">
        <v>45922.67392803241</v>
      </c>
      <c r="B36" s="3" t="s">
        <v>410</v>
      </c>
      <c r="C36" s="9">
        <v>100.0</v>
      </c>
      <c r="D36" s="3" t="s">
        <v>125</v>
      </c>
      <c r="E36" s="3" t="s">
        <v>66</v>
      </c>
      <c r="F36" s="3" t="s">
        <v>411</v>
      </c>
      <c r="G36" s="3" t="s">
        <v>68</v>
      </c>
      <c r="H36" s="5">
        <v>2000.0</v>
      </c>
      <c r="I36" s="3" t="s">
        <v>412</v>
      </c>
      <c r="J36" s="3" t="b">
        <v>0</v>
      </c>
      <c r="L36" s="3" t="s">
        <v>91</v>
      </c>
      <c r="M36" s="3" t="s">
        <v>310</v>
      </c>
      <c r="O36" s="3" t="s">
        <v>285</v>
      </c>
      <c r="P36" s="8">
        <v>45813.0</v>
      </c>
      <c r="Q36" s="3" t="s">
        <v>160</v>
      </c>
      <c r="R36" s="3" t="s">
        <v>201</v>
      </c>
      <c r="S36" s="3" t="s">
        <v>145</v>
      </c>
      <c r="T36" s="3" t="s">
        <v>146</v>
      </c>
      <c r="U36" s="3" t="s">
        <v>147</v>
      </c>
      <c r="V36" s="3" t="s">
        <v>413</v>
      </c>
      <c r="W36" s="3" t="s">
        <v>361</v>
      </c>
      <c r="X36" s="3" t="s">
        <v>133</v>
      </c>
      <c r="Y36" s="3" t="s">
        <v>100</v>
      </c>
      <c r="Z36" s="3" t="s">
        <v>182</v>
      </c>
      <c r="AA36" s="3" t="s">
        <v>398</v>
      </c>
      <c r="AB36" s="3" t="s">
        <v>103</v>
      </c>
      <c r="AC36" s="3">
        <v>4.0</v>
      </c>
      <c r="AD36" s="3" t="s">
        <v>414</v>
      </c>
      <c r="AE36" s="3" t="s">
        <v>137</v>
      </c>
      <c r="AF36" s="3">
        <v>7000.0</v>
      </c>
      <c r="AG36" s="3">
        <v>7000.0</v>
      </c>
      <c r="AH36" s="3" t="s">
        <v>168</v>
      </c>
      <c r="AI36" s="3" t="s">
        <v>185</v>
      </c>
      <c r="AJ36" s="3" t="s">
        <v>208</v>
      </c>
      <c r="AL36" s="3" t="s">
        <v>209</v>
      </c>
      <c r="AT36" s="6">
        <v>221776328725</v>
      </c>
      <c r="AU36" s="3" t="s">
        <v>415</v>
      </c>
      <c r="AV36" s="3" t="s">
        <v>416</v>
      </c>
      <c r="AW36" s="3" t="b">
        <v>1</v>
      </c>
      <c r="BB36" s="3" t="s">
        <v>189</v>
      </c>
      <c r="BD36" s="3" t="s">
        <v>86</v>
      </c>
      <c r="BE36" s="3">
        <v>39.0</v>
      </c>
      <c r="BF36" s="3" t="s">
        <v>87</v>
      </c>
    </row>
    <row r="37">
      <c r="A37" s="2">
        <v>45922.758295694446</v>
      </c>
      <c r="B37" s="3" t="s">
        <v>417</v>
      </c>
      <c r="C37" s="7">
        <v>25.0</v>
      </c>
      <c r="D37" s="3" t="s">
        <v>114</v>
      </c>
      <c r="E37" s="3" t="s">
        <v>66</v>
      </c>
      <c r="F37" s="3" t="s">
        <v>418</v>
      </c>
      <c r="G37" s="3" t="s">
        <v>68</v>
      </c>
      <c r="H37" s="5">
        <v>2000.0</v>
      </c>
      <c r="I37" s="3" t="s">
        <v>419</v>
      </c>
      <c r="J37" s="3" t="b">
        <v>0</v>
      </c>
      <c r="L37" s="3" t="s">
        <v>70</v>
      </c>
      <c r="M37" s="3" t="s">
        <v>71</v>
      </c>
      <c r="N37" s="3" t="s">
        <v>72</v>
      </c>
      <c r="O37" s="3" t="s">
        <v>93</v>
      </c>
      <c r="P37" s="3">
        <v>1.0</v>
      </c>
      <c r="Q37" s="3" t="s">
        <v>129</v>
      </c>
      <c r="R37" s="3" t="s">
        <v>76</v>
      </c>
      <c r="S37" s="3" t="s">
        <v>76</v>
      </c>
      <c r="T37" s="3" t="s">
        <v>76</v>
      </c>
      <c r="U37" s="3" t="s">
        <v>76</v>
      </c>
      <c r="V37" s="3" t="s">
        <v>76</v>
      </c>
      <c r="Y37" s="3" t="s">
        <v>76</v>
      </c>
      <c r="Z37" s="3" t="s">
        <v>76</v>
      </c>
      <c r="AM37" s="3" t="s">
        <v>118</v>
      </c>
      <c r="AN37" s="3" t="s">
        <v>420</v>
      </c>
      <c r="AO37" s="3" t="s">
        <v>421</v>
      </c>
      <c r="AP37" s="3" t="s">
        <v>196</v>
      </c>
      <c r="AQ37" s="3">
        <v>10.0</v>
      </c>
      <c r="AR37" s="3" t="s">
        <v>106</v>
      </c>
      <c r="AS37" s="3">
        <v>2.0</v>
      </c>
      <c r="AT37" s="6">
        <v>22795555545</v>
      </c>
      <c r="AW37" s="3" t="b">
        <v>0</v>
      </c>
      <c r="AY37" s="3" t="s">
        <v>123</v>
      </c>
      <c r="AZ37" s="3" t="s">
        <v>422</v>
      </c>
      <c r="BA37" s="3" t="s">
        <v>86</v>
      </c>
      <c r="BE37" s="3">
        <v>39.0</v>
      </c>
      <c r="BF37" s="3" t="s">
        <v>87</v>
      </c>
    </row>
    <row r="38">
      <c r="A38" s="2">
        <v>45922.76081173611</v>
      </c>
      <c r="B38" s="3" t="s">
        <v>423</v>
      </c>
      <c r="C38" s="9">
        <v>80.0</v>
      </c>
      <c r="D38" s="3" t="s">
        <v>125</v>
      </c>
      <c r="E38" s="3" t="s">
        <v>66</v>
      </c>
      <c r="F38" s="3" t="s">
        <v>424</v>
      </c>
      <c r="G38" s="3" t="s">
        <v>68</v>
      </c>
      <c r="H38" s="5">
        <v>2000.0</v>
      </c>
      <c r="I38" s="3" t="s">
        <v>425</v>
      </c>
      <c r="J38" s="3" t="b">
        <v>0</v>
      </c>
      <c r="L38" s="3" t="s">
        <v>91</v>
      </c>
      <c r="M38" s="3" t="s">
        <v>144</v>
      </c>
      <c r="O38" s="3" t="s">
        <v>93</v>
      </c>
      <c r="P38" s="3" t="s">
        <v>74</v>
      </c>
      <c r="Q38" s="3" t="s">
        <v>75</v>
      </c>
      <c r="R38" s="3" t="s">
        <v>426</v>
      </c>
      <c r="S38" s="3" t="s">
        <v>121</v>
      </c>
      <c r="T38" s="3" t="s">
        <v>427</v>
      </c>
      <c r="U38" s="3" t="s">
        <v>428</v>
      </c>
      <c r="V38" s="3" t="s">
        <v>429</v>
      </c>
      <c r="W38" s="3" t="s">
        <v>95</v>
      </c>
      <c r="X38" s="3" t="s">
        <v>99</v>
      </c>
      <c r="Y38" s="3" t="s">
        <v>205</v>
      </c>
      <c r="Z38" s="3" t="s">
        <v>150</v>
      </c>
      <c r="AA38" s="3" t="s">
        <v>430</v>
      </c>
      <c r="AB38" s="3" t="s">
        <v>205</v>
      </c>
      <c r="AC38" s="3">
        <v>5.0</v>
      </c>
      <c r="AD38" s="3" t="s">
        <v>136</v>
      </c>
      <c r="AE38" s="3" t="s">
        <v>137</v>
      </c>
      <c r="AF38" s="3">
        <v>5000.0</v>
      </c>
      <c r="AG38" s="3">
        <v>7000.0</v>
      </c>
      <c r="AH38" s="3">
        <v>0.0</v>
      </c>
      <c r="AI38" s="3" t="s">
        <v>106</v>
      </c>
      <c r="AJ38" s="3" t="s">
        <v>153</v>
      </c>
      <c r="AL38" s="3" t="s">
        <v>170</v>
      </c>
      <c r="AT38" s="3">
        <v>7.71044903E8</v>
      </c>
      <c r="AV38" s="3" t="s">
        <v>431</v>
      </c>
      <c r="AW38" s="3" t="b">
        <v>0</v>
      </c>
      <c r="BB38" s="3" t="s">
        <v>189</v>
      </c>
      <c r="BD38" s="3" t="s">
        <v>86</v>
      </c>
      <c r="BE38" s="3">
        <v>39.0</v>
      </c>
      <c r="BF38" s="3" t="s">
        <v>87</v>
      </c>
    </row>
    <row r="39">
      <c r="A39" s="2">
        <v>45922.79878340277</v>
      </c>
      <c r="B39" s="3" t="s">
        <v>432</v>
      </c>
      <c r="C39" s="7">
        <v>15.0</v>
      </c>
      <c r="D39" s="3" t="s">
        <v>114</v>
      </c>
      <c r="E39" s="3" t="s">
        <v>66</v>
      </c>
      <c r="F39" s="3" t="s">
        <v>433</v>
      </c>
      <c r="G39" s="3" t="s">
        <v>68</v>
      </c>
      <c r="H39" s="5">
        <v>2000.0</v>
      </c>
      <c r="I39" s="3" t="s">
        <v>434</v>
      </c>
      <c r="J39" s="3" t="b">
        <v>0</v>
      </c>
      <c r="L39" s="3" t="s">
        <v>70</v>
      </c>
      <c r="M39" s="3" t="s">
        <v>71</v>
      </c>
      <c r="N39" s="3" t="s">
        <v>72</v>
      </c>
      <c r="O39" s="3" t="s">
        <v>93</v>
      </c>
      <c r="P39" s="3" t="s">
        <v>74</v>
      </c>
      <c r="Q39" s="3" t="s">
        <v>75</v>
      </c>
      <c r="R39" s="3" t="s">
        <v>76</v>
      </c>
      <c r="S39" s="3" t="s">
        <v>76</v>
      </c>
      <c r="T39" s="3" t="s">
        <v>76</v>
      </c>
      <c r="U39" s="3" t="s">
        <v>76</v>
      </c>
      <c r="V39" s="3" t="s">
        <v>76</v>
      </c>
      <c r="Y39" s="3" t="s">
        <v>76</v>
      </c>
      <c r="Z39" s="3" t="s">
        <v>76</v>
      </c>
      <c r="AM39" s="3" t="s">
        <v>435</v>
      </c>
      <c r="AN39" s="3" t="s">
        <v>377</v>
      </c>
      <c r="AO39" s="3" t="s">
        <v>436</v>
      </c>
      <c r="AP39" s="3" t="s">
        <v>236</v>
      </c>
      <c r="AQ39" s="3" t="s">
        <v>81</v>
      </c>
      <c r="AR39" s="3" t="s">
        <v>106</v>
      </c>
      <c r="AS39" s="3">
        <v>1.0</v>
      </c>
      <c r="AT39" s="6">
        <v>33629276481</v>
      </c>
      <c r="AU39" s="3" t="s">
        <v>437</v>
      </c>
      <c r="AV39" s="3" t="s">
        <v>438</v>
      </c>
      <c r="AW39" s="3" t="b">
        <v>0</v>
      </c>
      <c r="AY39" s="3" t="s">
        <v>219</v>
      </c>
      <c r="BA39" s="3" t="s">
        <v>190</v>
      </c>
      <c r="BE39" s="3">
        <v>39.0</v>
      </c>
      <c r="BF39" s="3" t="s">
        <v>87</v>
      </c>
    </row>
    <row r="40">
      <c r="A40" s="2">
        <v>45922.80294631944</v>
      </c>
      <c r="B40" s="3" t="s">
        <v>439</v>
      </c>
      <c r="C40" s="7">
        <v>25.0</v>
      </c>
      <c r="D40" s="3" t="s">
        <v>114</v>
      </c>
      <c r="E40" s="3" t="s">
        <v>66</v>
      </c>
      <c r="F40" s="3" t="s">
        <v>440</v>
      </c>
      <c r="G40" s="3" t="s">
        <v>68</v>
      </c>
      <c r="H40" s="5">
        <v>2000.0</v>
      </c>
      <c r="I40" s="3" t="s">
        <v>441</v>
      </c>
      <c r="J40" s="3" t="b">
        <v>0</v>
      </c>
      <c r="L40" s="3" t="s">
        <v>70</v>
      </c>
      <c r="M40" s="3" t="s">
        <v>71</v>
      </c>
      <c r="N40" s="3" t="s">
        <v>72</v>
      </c>
      <c r="O40" s="3" t="s">
        <v>93</v>
      </c>
      <c r="P40" s="3" t="s">
        <v>74</v>
      </c>
      <c r="Q40" s="3" t="s">
        <v>129</v>
      </c>
      <c r="R40" s="3" t="s">
        <v>76</v>
      </c>
      <c r="S40" s="3" t="s">
        <v>76</v>
      </c>
      <c r="T40" s="3" t="s">
        <v>76</v>
      </c>
      <c r="U40" s="3" t="s">
        <v>76</v>
      </c>
      <c r="V40" s="3" t="s">
        <v>76</v>
      </c>
      <c r="Y40" s="3" t="s">
        <v>76</v>
      </c>
      <c r="Z40" s="3" t="s">
        <v>76</v>
      </c>
      <c r="AM40" s="3" t="s">
        <v>442</v>
      </c>
      <c r="AN40" s="3" t="s">
        <v>443</v>
      </c>
      <c r="AO40" s="3" t="s">
        <v>302</v>
      </c>
      <c r="AP40" s="3" t="s">
        <v>80</v>
      </c>
      <c r="AQ40" s="3">
        <v>10.0</v>
      </c>
      <c r="AR40" s="3" t="s">
        <v>106</v>
      </c>
      <c r="AS40" s="3">
        <v>1.0</v>
      </c>
      <c r="AT40" s="3">
        <v>7.71491403E8</v>
      </c>
      <c r="AV40" s="3" t="s">
        <v>444</v>
      </c>
      <c r="AW40" s="3" t="b">
        <v>1</v>
      </c>
      <c r="AY40" s="3" t="s">
        <v>297</v>
      </c>
      <c r="BA40" s="3" t="s">
        <v>319</v>
      </c>
      <c r="BE40" s="3">
        <v>39.0</v>
      </c>
      <c r="BF40" s="3" t="s">
        <v>87</v>
      </c>
    </row>
    <row r="41">
      <c r="A41" s="2">
        <v>45922.82794103009</v>
      </c>
      <c r="B41" s="3" t="s">
        <v>445</v>
      </c>
      <c r="C41" s="9">
        <v>80.0</v>
      </c>
      <c r="D41" s="3" t="s">
        <v>125</v>
      </c>
      <c r="E41" s="3" t="s">
        <v>66</v>
      </c>
      <c r="F41" s="3" t="s">
        <v>446</v>
      </c>
      <c r="G41" s="3" t="s">
        <v>68</v>
      </c>
      <c r="H41" s="5">
        <v>2000.0</v>
      </c>
      <c r="I41" s="3" t="s">
        <v>447</v>
      </c>
      <c r="J41" s="3" t="b">
        <v>0</v>
      </c>
      <c r="L41" s="3" t="s">
        <v>91</v>
      </c>
      <c r="M41" s="3" t="s">
        <v>284</v>
      </c>
      <c r="N41" s="3" t="s">
        <v>177</v>
      </c>
      <c r="O41" s="3" t="s">
        <v>93</v>
      </c>
      <c r="P41" s="8">
        <v>45813.0</v>
      </c>
      <c r="Q41" s="3" t="s">
        <v>129</v>
      </c>
      <c r="R41" s="3" t="s">
        <v>201</v>
      </c>
      <c r="S41" s="3" t="s">
        <v>121</v>
      </c>
      <c r="T41" s="3" t="s">
        <v>387</v>
      </c>
      <c r="U41" s="3" t="s">
        <v>162</v>
      </c>
      <c r="V41" s="3" t="s">
        <v>180</v>
      </c>
      <c r="W41" s="3" t="s">
        <v>95</v>
      </c>
      <c r="X41" s="3" t="s">
        <v>99</v>
      </c>
      <c r="Y41" s="3" t="s">
        <v>205</v>
      </c>
      <c r="Z41" s="3" t="s">
        <v>134</v>
      </c>
      <c r="AA41" s="3" t="s">
        <v>135</v>
      </c>
      <c r="AB41" s="3" t="s">
        <v>184</v>
      </c>
      <c r="AC41" s="3">
        <v>5.0</v>
      </c>
      <c r="AD41" s="3" t="s">
        <v>207</v>
      </c>
      <c r="AE41" s="3" t="s">
        <v>137</v>
      </c>
      <c r="AF41" s="3">
        <v>10000.0</v>
      </c>
      <c r="AG41" s="3">
        <v>15000.0</v>
      </c>
      <c r="AH41" s="3">
        <v>0.0</v>
      </c>
      <c r="AI41" s="3" t="s">
        <v>145</v>
      </c>
      <c r="AJ41" s="3" t="s">
        <v>153</v>
      </c>
      <c r="AL41" s="3" t="s">
        <v>448</v>
      </c>
      <c r="AT41" s="3">
        <v>7.81791769E8</v>
      </c>
      <c r="AU41" s="3" t="s">
        <v>449</v>
      </c>
      <c r="AV41" s="3" t="s">
        <v>450</v>
      </c>
      <c r="AW41" s="3" t="b">
        <v>0</v>
      </c>
      <c r="BB41" s="3" t="s">
        <v>173</v>
      </c>
      <c r="BD41" s="3" t="s">
        <v>86</v>
      </c>
      <c r="BE41" s="3">
        <v>39.0</v>
      </c>
      <c r="BF41" s="3" t="s">
        <v>87</v>
      </c>
    </row>
    <row r="42">
      <c r="A42" s="2">
        <v>45922.83082616898</v>
      </c>
      <c r="B42" s="3" t="s">
        <v>451</v>
      </c>
      <c r="C42" s="7">
        <v>10.0</v>
      </c>
      <c r="D42" s="3" t="s">
        <v>114</v>
      </c>
      <c r="E42" s="3" t="s">
        <v>66</v>
      </c>
      <c r="F42" s="3" t="s">
        <v>452</v>
      </c>
      <c r="G42" s="3" t="s">
        <v>68</v>
      </c>
      <c r="H42" s="5">
        <v>2000.0</v>
      </c>
      <c r="I42" s="3" t="s">
        <v>453</v>
      </c>
      <c r="J42" s="3" t="b">
        <v>0</v>
      </c>
      <c r="L42" s="3" t="s">
        <v>70</v>
      </c>
      <c r="M42" s="3" t="s">
        <v>71</v>
      </c>
      <c r="N42" s="3" t="s">
        <v>72</v>
      </c>
      <c r="O42" s="3" t="s">
        <v>93</v>
      </c>
      <c r="P42" s="8">
        <v>45750.0</v>
      </c>
      <c r="Q42" s="3" t="s">
        <v>129</v>
      </c>
      <c r="R42" s="3" t="s">
        <v>76</v>
      </c>
      <c r="S42" s="3" t="s">
        <v>76</v>
      </c>
      <c r="T42" s="3" t="s">
        <v>76</v>
      </c>
      <c r="U42" s="3" t="s">
        <v>76</v>
      </c>
      <c r="V42" s="3" t="s">
        <v>76</v>
      </c>
      <c r="Y42" s="3" t="s">
        <v>76</v>
      </c>
      <c r="Z42" s="3" t="s">
        <v>76</v>
      </c>
      <c r="AM42" s="3" t="s">
        <v>77</v>
      </c>
      <c r="AN42" s="3" t="s">
        <v>255</v>
      </c>
      <c r="AO42" s="3" t="s">
        <v>256</v>
      </c>
      <c r="AP42" s="3" t="s">
        <v>80</v>
      </c>
      <c r="AQ42" s="3">
        <v>5.0</v>
      </c>
      <c r="AR42" s="3" t="s">
        <v>106</v>
      </c>
      <c r="AS42" s="3">
        <v>1.0</v>
      </c>
      <c r="AT42" s="6">
        <v>33766164663</v>
      </c>
      <c r="AW42" s="3" t="b">
        <v>0</v>
      </c>
      <c r="BE42" s="3">
        <v>39.0</v>
      </c>
      <c r="BF42" s="3" t="s">
        <v>87</v>
      </c>
    </row>
    <row r="43">
      <c r="A43" s="2">
        <v>45922.83112835648</v>
      </c>
      <c r="B43" s="3" t="s">
        <v>454</v>
      </c>
      <c r="C43" s="7">
        <v>20.0</v>
      </c>
      <c r="D43" s="3" t="s">
        <v>114</v>
      </c>
      <c r="E43" s="3" t="s">
        <v>66</v>
      </c>
      <c r="F43" s="3" t="s">
        <v>455</v>
      </c>
      <c r="G43" s="3" t="s">
        <v>68</v>
      </c>
      <c r="H43" s="5">
        <v>2000.0</v>
      </c>
      <c r="I43" s="3" t="s">
        <v>456</v>
      </c>
      <c r="J43" s="3" t="b">
        <v>0</v>
      </c>
      <c r="L43" s="3" t="s">
        <v>70</v>
      </c>
      <c r="M43" s="3" t="s">
        <v>71</v>
      </c>
      <c r="N43" s="3" t="s">
        <v>72</v>
      </c>
      <c r="O43" s="3" t="s">
        <v>93</v>
      </c>
      <c r="P43" s="8">
        <v>45750.0</v>
      </c>
      <c r="Q43" s="3" t="s">
        <v>129</v>
      </c>
      <c r="R43" s="3" t="s">
        <v>76</v>
      </c>
      <c r="S43" s="3" t="s">
        <v>76</v>
      </c>
      <c r="T43" s="3" t="s">
        <v>76</v>
      </c>
      <c r="U43" s="3" t="s">
        <v>76</v>
      </c>
      <c r="V43" s="3" t="s">
        <v>76</v>
      </c>
      <c r="Y43" s="3" t="s">
        <v>76</v>
      </c>
      <c r="Z43" s="3" t="s">
        <v>76</v>
      </c>
      <c r="AM43" s="3" t="s">
        <v>457</v>
      </c>
      <c r="AN43" s="3" t="s">
        <v>404</v>
      </c>
      <c r="AO43" s="3" t="s">
        <v>458</v>
      </c>
      <c r="AP43" s="3" t="s">
        <v>80</v>
      </c>
      <c r="AQ43" s="3">
        <v>10.0</v>
      </c>
      <c r="AR43" s="3" t="s">
        <v>106</v>
      </c>
      <c r="AS43" s="3">
        <v>1.0</v>
      </c>
      <c r="AT43" s="6">
        <v>33751082275</v>
      </c>
      <c r="AU43" s="3" t="s">
        <v>459</v>
      </c>
      <c r="AV43" s="3" t="s">
        <v>460</v>
      </c>
      <c r="AW43" s="3" t="b">
        <v>0</v>
      </c>
      <c r="AY43" s="3" t="s">
        <v>461</v>
      </c>
      <c r="BA43" s="3" t="s">
        <v>86</v>
      </c>
      <c r="BE43" s="3">
        <v>39.0</v>
      </c>
      <c r="BF43" s="3" t="s">
        <v>87</v>
      </c>
    </row>
    <row r="44">
      <c r="A44" s="2">
        <v>45922.85317780093</v>
      </c>
      <c r="B44" s="3" t="s">
        <v>462</v>
      </c>
      <c r="C44" s="7">
        <v>25.0</v>
      </c>
      <c r="D44" s="3" t="s">
        <v>114</v>
      </c>
      <c r="E44" s="3" t="s">
        <v>66</v>
      </c>
      <c r="F44" s="3" t="s">
        <v>463</v>
      </c>
      <c r="G44" s="3" t="s">
        <v>68</v>
      </c>
      <c r="H44" s="5">
        <v>2000.0</v>
      </c>
      <c r="I44" s="3" t="s">
        <v>464</v>
      </c>
      <c r="J44" s="3" t="b">
        <v>0</v>
      </c>
      <c r="L44" s="3" t="s">
        <v>70</v>
      </c>
      <c r="M44" s="3" t="s">
        <v>71</v>
      </c>
      <c r="N44" s="3" t="s">
        <v>72</v>
      </c>
      <c r="O44" s="3" t="s">
        <v>93</v>
      </c>
      <c r="P44" s="3" t="s">
        <v>74</v>
      </c>
      <c r="Q44" s="3" t="s">
        <v>75</v>
      </c>
      <c r="R44" s="3" t="s">
        <v>76</v>
      </c>
      <c r="S44" s="3" t="s">
        <v>76</v>
      </c>
      <c r="T44" s="3" t="s">
        <v>76</v>
      </c>
      <c r="U44" s="3" t="s">
        <v>76</v>
      </c>
      <c r="V44" s="3" t="s">
        <v>76</v>
      </c>
      <c r="Y44" s="3" t="s">
        <v>76</v>
      </c>
      <c r="Z44" s="3" t="s">
        <v>76</v>
      </c>
      <c r="AM44" s="3" t="s">
        <v>77</v>
      </c>
      <c r="AN44" s="3" t="s">
        <v>318</v>
      </c>
      <c r="AO44" s="3" t="s">
        <v>465</v>
      </c>
      <c r="AP44" s="3" t="s">
        <v>80</v>
      </c>
      <c r="AQ44" s="3">
        <v>10.0</v>
      </c>
      <c r="AR44" s="3" t="s">
        <v>121</v>
      </c>
      <c r="AS44" s="3">
        <v>2.0</v>
      </c>
      <c r="AT44" s="6">
        <v>17623283056</v>
      </c>
      <c r="AU44" s="3" t="s">
        <v>466</v>
      </c>
      <c r="AV44" s="3" t="s">
        <v>467</v>
      </c>
      <c r="AW44" s="3" t="b">
        <v>0</v>
      </c>
      <c r="AY44" s="3" t="s">
        <v>468</v>
      </c>
      <c r="AZ44" s="3" t="s">
        <v>469</v>
      </c>
      <c r="BA44" s="3" t="s">
        <v>86</v>
      </c>
      <c r="BE44" s="3">
        <v>39.0</v>
      </c>
      <c r="BF44" s="3" t="s">
        <v>87</v>
      </c>
    </row>
    <row r="45">
      <c r="A45" s="2">
        <v>45922.854798113425</v>
      </c>
      <c r="B45" s="3" t="s">
        <v>470</v>
      </c>
      <c r="C45" s="4">
        <v>65.0</v>
      </c>
      <c r="D45" s="3" t="s">
        <v>65</v>
      </c>
      <c r="E45" s="3" t="s">
        <v>66</v>
      </c>
      <c r="F45" s="3" t="s">
        <v>471</v>
      </c>
      <c r="G45" s="3" t="s">
        <v>68</v>
      </c>
      <c r="H45" s="5">
        <v>2000.0</v>
      </c>
      <c r="I45" s="3" t="s">
        <v>472</v>
      </c>
      <c r="J45" s="3" t="b">
        <v>0</v>
      </c>
      <c r="L45" s="3" t="s">
        <v>91</v>
      </c>
      <c r="M45" s="3" t="s">
        <v>310</v>
      </c>
      <c r="O45" s="3" t="s">
        <v>285</v>
      </c>
      <c r="P45" s="8">
        <v>45813.0</v>
      </c>
      <c r="Q45" s="3" t="s">
        <v>75</v>
      </c>
      <c r="R45" s="3" t="s">
        <v>94</v>
      </c>
      <c r="S45" s="3" t="s">
        <v>148</v>
      </c>
      <c r="T45" s="3" t="s">
        <v>387</v>
      </c>
      <c r="U45" s="3" t="s">
        <v>179</v>
      </c>
      <c r="V45" s="3" t="s">
        <v>473</v>
      </c>
      <c r="W45" s="3" t="s">
        <v>148</v>
      </c>
      <c r="X45" s="3" t="s">
        <v>99</v>
      </c>
      <c r="Y45" s="3" t="s">
        <v>205</v>
      </c>
      <c r="Z45" s="3" t="s">
        <v>134</v>
      </c>
      <c r="AA45" s="3" t="s">
        <v>474</v>
      </c>
      <c r="AB45" s="3" t="s">
        <v>184</v>
      </c>
      <c r="AC45" s="3">
        <v>3.0</v>
      </c>
      <c r="AE45" s="3" t="s">
        <v>137</v>
      </c>
      <c r="AF45" s="3">
        <v>5000.0</v>
      </c>
      <c r="AG45" s="3">
        <v>6000.0</v>
      </c>
      <c r="AH45" s="3" t="s">
        <v>168</v>
      </c>
      <c r="AI45" s="3" t="s">
        <v>106</v>
      </c>
      <c r="AJ45" s="3" t="s">
        <v>138</v>
      </c>
      <c r="AL45" s="3" t="s">
        <v>186</v>
      </c>
      <c r="AT45" s="3">
        <v>7.7575114E8</v>
      </c>
      <c r="AV45" s="3" t="s">
        <v>475</v>
      </c>
      <c r="AW45" s="3" t="b">
        <v>1</v>
      </c>
      <c r="BD45" s="3" t="s">
        <v>319</v>
      </c>
      <c r="BE45" s="3">
        <v>39.0</v>
      </c>
      <c r="BF45" s="3" t="s">
        <v>87</v>
      </c>
    </row>
    <row r="46">
      <c r="A46" s="2">
        <v>45922.868112118056</v>
      </c>
      <c r="B46" s="3" t="s">
        <v>476</v>
      </c>
      <c r="C46" s="7">
        <v>20.0</v>
      </c>
      <c r="D46" s="3" t="s">
        <v>114</v>
      </c>
      <c r="E46" s="3" t="s">
        <v>66</v>
      </c>
      <c r="F46" s="3" t="s">
        <v>477</v>
      </c>
      <c r="G46" s="3" t="s">
        <v>68</v>
      </c>
      <c r="H46" s="5">
        <v>2000.0</v>
      </c>
      <c r="I46" s="3" t="s">
        <v>478</v>
      </c>
      <c r="J46" s="3" t="b">
        <v>0</v>
      </c>
      <c r="L46" s="3" t="s">
        <v>70</v>
      </c>
      <c r="M46" s="3" t="s">
        <v>71</v>
      </c>
      <c r="N46" s="3" t="s">
        <v>479</v>
      </c>
      <c r="O46" s="3" t="s">
        <v>93</v>
      </c>
      <c r="P46" s="8">
        <v>45750.0</v>
      </c>
      <c r="Q46" s="3" t="s">
        <v>129</v>
      </c>
      <c r="R46" s="3" t="s">
        <v>76</v>
      </c>
      <c r="S46" s="3" t="s">
        <v>76</v>
      </c>
      <c r="T46" s="3" t="s">
        <v>76</v>
      </c>
      <c r="U46" s="3" t="s">
        <v>76</v>
      </c>
      <c r="V46" s="3" t="s">
        <v>76</v>
      </c>
      <c r="Y46" s="3" t="s">
        <v>76</v>
      </c>
      <c r="Z46" s="3" t="s">
        <v>76</v>
      </c>
      <c r="AM46" s="3" t="s">
        <v>480</v>
      </c>
      <c r="AN46" s="3" t="s">
        <v>235</v>
      </c>
      <c r="AO46" s="3" t="s">
        <v>436</v>
      </c>
      <c r="AP46" s="3" t="s">
        <v>80</v>
      </c>
      <c r="AQ46" s="3">
        <v>5.0</v>
      </c>
      <c r="AR46" s="3" t="s">
        <v>145</v>
      </c>
      <c r="AS46" s="3">
        <v>2.0</v>
      </c>
      <c r="AT46" s="6">
        <v>17543676276</v>
      </c>
      <c r="AW46" s="3" t="b">
        <v>0</v>
      </c>
      <c r="AY46" s="3" t="s">
        <v>197</v>
      </c>
      <c r="BA46" s="3" t="s">
        <v>190</v>
      </c>
      <c r="BE46" s="3">
        <v>39.0</v>
      </c>
      <c r="BF46" s="3" t="s">
        <v>87</v>
      </c>
    </row>
    <row r="47">
      <c r="A47" s="2">
        <v>45922.96490951389</v>
      </c>
      <c r="B47" s="3" t="s">
        <v>481</v>
      </c>
      <c r="C47" s="7">
        <v>20.0</v>
      </c>
      <c r="D47" s="3" t="s">
        <v>114</v>
      </c>
      <c r="E47" s="3" t="s">
        <v>66</v>
      </c>
      <c r="F47" s="3" t="s">
        <v>482</v>
      </c>
      <c r="G47" s="3" t="s">
        <v>68</v>
      </c>
      <c r="H47" s="5">
        <v>2000.0</v>
      </c>
      <c r="I47" s="3" t="s">
        <v>483</v>
      </c>
      <c r="J47" s="3" t="b">
        <v>0</v>
      </c>
      <c r="L47" s="3" t="s">
        <v>70</v>
      </c>
      <c r="M47" s="3" t="s">
        <v>71</v>
      </c>
      <c r="N47" s="3" t="s">
        <v>72</v>
      </c>
      <c r="O47" s="3" t="s">
        <v>117</v>
      </c>
      <c r="P47" s="3">
        <v>2.0</v>
      </c>
      <c r="Q47" s="3" t="s">
        <v>75</v>
      </c>
      <c r="R47" s="3" t="s">
        <v>76</v>
      </c>
      <c r="S47" s="3" t="s">
        <v>76</v>
      </c>
      <c r="T47" s="3" t="s">
        <v>76</v>
      </c>
      <c r="U47" s="3" t="s">
        <v>76</v>
      </c>
      <c r="V47" s="3" t="s">
        <v>76</v>
      </c>
      <c r="Y47" s="3" t="s">
        <v>76</v>
      </c>
      <c r="Z47" s="3" t="s">
        <v>76</v>
      </c>
      <c r="AM47" s="3" t="s">
        <v>217</v>
      </c>
      <c r="AN47" s="3" t="s">
        <v>235</v>
      </c>
      <c r="AO47" s="3" t="s">
        <v>334</v>
      </c>
      <c r="AP47" s="3" t="s">
        <v>196</v>
      </c>
      <c r="AR47" s="3" t="s">
        <v>296</v>
      </c>
      <c r="AS47" s="3">
        <v>1.0</v>
      </c>
      <c r="AT47" s="6">
        <v>330652186719</v>
      </c>
      <c r="AU47" s="3" t="s">
        <v>484</v>
      </c>
      <c r="AV47" s="3" t="s">
        <v>485</v>
      </c>
      <c r="AW47" s="3" t="b">
        <v>0</v>
      </c>
      <c r="AY47" s="3" t="s">
        <v>239</v>
      </c>
      <c r="BA47" s="3" t="s">
        <v>86</v>
      </c>
      <c r="BE47" s="3">
        <v>39.0</v>
      </c>
      <c r="BF47" s="3" t="s">
        <v>87</v>
      </c>
    </row>
    <row r="48">
      <c r="A48" s="2">
        <v>45923.01403560185</v>
      </c>
      <c r="B48" s="3" t="s">
        <v>486</v>
      </c>
      <c r="C48" s="9">
        <v>85.0</v>
      </c>
      <c r="D48" s="3" t="s">
        <v>125</v>
      </c>
      <c r="E48" s="3" t="s">
        <v>66</v>
      </c>
      <c r="F48" s="3" t="s">
        <v>487</v>
      </c>
      <c r="G48" s="3" t="s">
        <v>68</v>
      </c>
      <c r="H48" s="5">
        <v>2000.0</v>
      </c>
      <c r="I48" s="3" t="s">
        <v>488</v>
      </c>
      <c r="J48" s="3" t="b">
        <v>0</v>
      </c>
      <c r="L48" s="3" t="s">
        <v>91</v>
      </c>
      <c r="M48" s="3" t="s">
        <v>177</v>
      </c>
      <c r="O48" s="3" t="s">
        <v>73</v>
      </c>
      <c r="P48" s="8">
        <v>45813.0</v>
      </c>
      <c r="Q48" s="3" t="s">
        <v>75</v>
      </c>
      <c r="R48" s="3" t="s">
        <v>130</v>
      </c>
      <c r="S48" s="3" t="s">
        <v>121</v>
      </c>
      <c r="T48" s="3" t="s">
        <v>387</v>
      </c>
      <c r="U48" s="3" t="s">
        <v>489</v>
      </c>
      <c r="V48" s="3" t="s">
        <v>490</v>
      </c>
      <c r="W48" s="3" t="s">
        <v>95</v>
      </c>
      <c r="X48" s="3" t="s">
        <v>99</v>
      </c>
      <c r="Y48" s="3" t="s">
        <v>181</v>
      </c>
      <c r="Z48" s="3" t="s">
        <v>150</v>
      </c>
      <c r="AA48" s="3" t="s">
        <v>491</v>
      </c>
      <c r="AB48" s="3" t="s">
        <v>205</v>
      </c>
      <c r="AC48" s="3">
        <v>5.0</v>
      </c>
      <c r="AD48" s="3" t="s">
        <v>492</v>
      </c>
      <c r="AE48" s="3" t="s">
        <v>105</v>
      </c>
      <c r="AF48" s="3">
        <v>20000.0</v>
      </c>
      <c r="AG48" s="3">
        <v>50000.0</v>
      </c>
      <c r="AH48" s="3" t="s">
        <v>168</v>
      </c>
      <c r="AI48" s="3" t="s">
        <v>185</v>
      </c>
      <c r="AJ48" s="3" t="s">
        <v>153</v>
      </c>
      <c r="AL48" s="3" t="s">
        <v>170</v>
      </c>
      <c r="AT48" s="3">
        <v>7.75239452E8</v>
      </c>
      <c r="AU48" s="3" t="s">
        <v>493</v>
      </c>
      <c r="AV48" s="3" t="s">
        <v>494</v>
      </c>
      <c r="AW48" s="3" t="b">
        <v>0</v>
      </c>
      <c r="BE48" s="3">
        <v>39.0</v>
      </c>
      <c r="BF48" s="3" t="s">
        <v>87</v>
      </c>
    </row>
    <row r="49">
      <c r="A49" s="2">
        <v>45923.01902011574</v>
      </c>
      <c r="B49" s="3" t="s">
        <v>495</v>
      </c>
      <c r="C49" s="7">
        <v>30.0</v>
      </c>
      <c r="D49" s="3" t="s">
        <v>114</v>
      </c>
      <c r="E49" s="3" t="s">
        <v>66</v>
      </c>
      <c r="F49" s="3" t="s">
        <v>496</v>
      </c>
      <c r="G49" s="3" t="s">
        <v>68</v>
      </c>
      <c r="H49" s="5">
        <v>2000.0</v>
      </c>
      <c r="I49" s="3" t="s">
        <v>497</v>
      </c>
      <c r="J49" s="3" t="b">
        <v>0</v>
      </c>
      <c r="L49" s="3" t="s">
        <v>70</v>
      </c>
      <c r="M49" s="3" t="s">
        <v>71</v>
      </c>
      <c r="N49" s="3" t="s">
        <v>72</v>
      </c>
      <c r="O49" s="3" t="s">
        <v>93</v>
      </c>
      <c r="P49" s="8">
        <v>45813.0</v>
      </c>
      <c r="Q49" s="3" t="s">
        <v>129</v>
      </c>
      <c r="R49" s="3" t="s">
        <v>76</v>
      </c>
      <c r="S49" s="3" t="s">
        <v>76</v>
      </c>
      <c r="T49" s="3" t="s">
        <v>76</v>
      </c>
      <c r="U49" s="3" t="s">
        <v>76</v>
      </c>
      <c r="V49" s="3" t="s">
        <v>76</v>
      </c>
      <c r="Y49" s="3" t="s">
        <v>76</v>
      </c>
      <c r="Z49" s="3" t="s">
        <v>76</v>
      </c>
      <c r="AM49" s="3" t="s">
        <v>77</v>
      </c>
      <c r="AN49" s="3" t="s">
        <v>377</v>
      </c>
      <c r="AO49" s="3" t="s">
        <v>436</v>
      </c>
      <c r="AP49" s="3" t="s">
        <v>80</v>
      </c>
      <c r="AQ49" s="3">
        <v>5.0</v>
      </c>
      <c r="AR49" s="3" t="s">
        <v>296</v>
      </c>
      <c r="AS49" s="3">
        <v>1.0</v>
      </c>
      <c r="AT49" s="6">
        <v>33695710768</v>
      </c>
      <c r="AV49" s="3" t="s">
        <v>498</v>
      </c>
      <c r="AW49" s="3" t="b">
        <v>1</v>
      </c>
      <c r="AY49" s="3" t="s">
        <v>337</v>
      </c>
      <c r="BA49" s="3" t="s">
        <v>190</v>
      </c>
      <c r="BE49" s="3">
        <v>39.0</v>
      </c>
      <c r="BF49" s="3" t="s">
        <v>87</v>
      </c>
    </row>
    <row r="50">
      <c r="A50" s="2">
        <v>45923.172655312505</v>
      </c>
      <c r="B50" s="3" t="s">
        <v>499</v>
      </c>
      <c r="C50" s="4">
        <v>50.0</v>
      </c>
      <c r="D50" s="3" t="s">
        <v>65</v>
      </c>
      <c r="E50" s="3" t="s">
        <v>66</v>
      </c>
      <c r="F50" s="3" t="s">
        <v>500</v>
      </c>
      <c r="G50" s="3" t="s">
        <v>68</v>
      </c>
      <c r="H50" s="5">
        <v>2000.0</v>
      </c>
      <c r="I50" s="3" t="s">
        <v>501</v>
      </c>
      <c r="J50" s="3" t="b">
        <v>0</v>
      </c>
      <c r="L50" s="3" t="s">
        <v>91</v>
      </c>
      <c r="M50" s="3" t="s">
        <v>457</v>
      </c>
      <c r="O50" s="3" t="s">
        <v>117</v>
      </c>
      <c r="P50" s="8">
        <v>45813.0</v>
      </c>
      <c r="Q50" s="3" t="s">
        <v>160</v>
      </c>
      <c r="R50" s="3" t="s">
        <v>386</v>
      </c>
      <c r="S50" s="3" t="s">
        <v>82</v>
      </c>
      <c r="T50" s="3" t="s">
        <v>178</v>
      </c>
      <c r="U50" s="3" t="s">
        <v>97</v>
      </c>
      <c r="V50" s="3" t="s">
        <v>132</v>
      </c>
      <c r="W50" s="3" t="s">
        <v>95</v>
      </c>
      <c r="X50" s="3" t="s">
        <v>99</v>
      </c>
      <c r="Y50" s="3" t="s">
        <v>205</v>
      </c>
      <c r="Z50" s="3" t="s">
        <v>101</v>
      </c>
      <c r="AA50" s="3" t="s">
        <v>342</v>
      </c>
      <c r="AB50" s="3" t="s">
        <v>205</v>
      </c>
      <c r="AC50" s="3">
        <v>3.0</v>
      </c>
      <c r="AD50" s="3" t="s">
        <v>388</v>
      </c>
      <c r="AE50" s="3" t="s">
        <v>137</v>
      </c>
      <c r="AF50" s="3">
        <v>5000.0</v>
      </c>
      <c r="AG50" s="3">
        <v>8000.0</v>
      </c>
      <c r="AH50" s="3" t="s">
        <v>168</v>
      </c>
      <c r="AI50" s="3" t="s">
        <v>106</v>
      </c>
      <c r="AJ50" s="3" t="s">
        <v>208</v>
      </c>
      <c r="AL50" s="3" t="s">
        <v>179</v>
      </c>
      <c r="AT50" s="3">
        <v>7.81538994E8</v>
      </c>
      <c r="AW50" s="3" t="b">
        <v>0</v>
      </c>
      <c r="BB50" s="3" t="s">
        <v>189</v>
      </c>
      <c r="BD50" s="3" t="s">
        <v>86</v>
      </c>
      <c r="BE50" s="3">
        <v>39.0</v>
      </c>
      <c r="BF50" s="3" t="s">
        <v>87</v>
      </c>
    </row>
    <row r="51">
      <c r="A51" s="2">
        <v>45923.51172335648</v>
      </c>
      <c r="B51" s="3" t="s">
        <v>502</v>
      </c>
      <c r="C51" s="4">
        <v>55.0</v>
      </c>
      <c r="D51" s="3" t="s">
        <v>65</v>
      </c>
      <c r="E51" s="3" t="s">
        <v>66</v>
      </c>
      <c r="F51" s="3" t="s">
        <v>503</v>
      </c>
      <c r="G51" s="3" t="s">
        <v>68</v>
      </c>
      <c r="H51" s="5">
        <v>2000.0</v>
      </c>
      <c r="I51" s="3" t="s">
        <v>504</v>
      </c>
      <c r="J51" s="3" t="b">
        <v>0</v>
      </c>
      <c r="L51" s="3" t="s">
        <v>91</v>
      </c>
      <c r="M51" s="3" t="s">
        <v>505</v>
      </c>
      <c r="O51" s="3" t="s">
        <v>73</v>
      </c>
      <c r="P51" s="8">
        <v>45813.0</v>
      </c>
      <c r="Q51" s="3" t="s">
        <v>160</v>
      </c>
      <c r="R51" s="3" t="s">
        <v>201</v>
      </c>
      <c r="S51" s="3" t="s">
        <v>145</v>
      </c>
      <c r="T51" s="3" t="s">
        <v>427</v>
      </c>
      <c r="U51" s="3" t="s">
        <v>179</v>
      </c>
      <c r="V51" s="3" t="s">
        <v>506</v>
      </c>
      <c r="W51" s="3" t="s">
        <v>106</v>
      </c>
      <c r="X51" s="3" t="s">
        <v>133</v>
      </c>
      <c r="Y51" s="3" t="s">
        <v>205</v>
      </c>
      <c r="Z51" s="3" t="s">
        <v>182</v>
      </c>
      <c r="AA51" s="3" t="s">
        <v>507</v>
      </c>
      <c r="AB51" s="3" t="s">
        <v>103</v>
      </c>
      <c r="AC51" s="3">
        <v>3.0</v>
      </c>
      <c r="AD51" s="3" t="s">
        <v>136</v>
      </c>
      <c r="AE51" s="3" t="s">
        <v>105</v>
      </c>
      <c r="AF51" s="3">
        <v>6000.0</v>
      </c>
      <c r="AG51" s="3">
        <v>7000.0</v>
      </c>
      <c r="AH51" s="3">
        <v>1500.0</v>
      </c>
      <c r="AI51" s="3" t="s">
        <v>106</v>
      </c>
      <c r="AJ51" s="3" t="s">
        <v>208</v>
      </c>
      <c r="AL51" s="3" t="s">
        <v>508</v>
      </c>
      <c r="AT51" s="3">
        <v>7.75346485E8</v>
      </c>
      <c r="AU51" s="3" t="s">
        <v>509</v>
      </c>
      <c r="AV51" s="3" t="s">
        <v>510</v>
      </c>
      <c r="AW51" s="3" t="b">
        <v>0</v>
      </c>
      <c r="BB51" s="3" t="s">
        <v>511</v>
      </c>
      <c r="BD51" s="3" t="s">
        <v>190</v>
      </c>
      <c r="BE51" s="3">
        <v>39.0</v>
      </c>
      <c r="BF51" s="3" t="s">
        <v>87</v>
      </c>
    </row>
    <row r="52">
      <c r="A52" s="2">
        <v>45923.558213564815</v>
      </c>
      <c r="B52" s="3" t="s">
        <v>512</v>
      </c>
      <c r="C52" s="4">
        <v>50.0</v>
      </c>
      <c r="D52" s="3" t="s">
        <v>65</v>
      </c>
      <c r="E52" s="3" t="s">
        <v>66</v>
      </c>
      <c r="F52" s="3" t="s">
        <v>513</v>
      </c>
      <c r="G52" s="3" t="s">
        <v>68</v>
      </c>
      <c r="H52" s="5">
        <v>2000.0</v>
      </c>
      <c r="I52" s="3" t="s">
        <v>514</v>
      </c>
      <c r="J52" s="3" t="b">
        <v>0</v>
      </c>
      <c r="L52" s="3" t="s">
        <v>91</v>
      </c>
      <c r="M52" s="3" t="s">
        <v>177</v>
      </c>
      <c r="O52" s="3" t="s">
        <v>117</v>
      </c>
      <c r="P52" s="8">
        <v>45813.0</v>
      </c>
      <c r="Q52" s="3" t="s">
        <v>311</v>
      </c>
      <c r="R52" s="3" t="s">
        <v>161</v>
      </c>
      <c r="S52" s="3" t="s">
        <v>145</v>
      </c>
      <c r="T52" s="3" t="s">
        <v>96</v>
      </c>
      <c r="U52" s="3" t="s">
        <v>179</v>
      </c>
      <c r="V52" s="3" t="s">
        <v>132</v>
      </c>
      <c r="W52" s="3" t="s">
        <v>95</v>
      </c>
      <c r="X52" s="3" t="s">
        <v>163</v>
      </c>
      <c r="Y52" s="3" t="s">
        <v>205</v>
      </c>
      <c r="Z52" s="3" t="s">
        <v>182</v>
      </c>
      <c r="AA52" s="3" t="s">
        <v>515</v>
      </c>
      <c r="AB52" s="3" t="s">
        <v>184</v>
      </c>
      <c r="AC52" s="3">
        <v>4.0</v>
      </c>
      <c r="AD52" s="3" t="s">
        <v>516</v>
      </c>
      <c r="AE52" s="3" t="s">
        <v>105</v>
      </c>
      <c r="AF52" s="3">
        <v>2000.0</v>
      </c>
      <c r="AG52" s="3">
        <v>5000.0</v>
      </c>
      <c r="AH52" s="3">
        <v>1000.0</v>
      </c>
      <c r="AI52" s="3" t="s">
        <v>145</v>
      </c>
      <c r="AJ52" s="3" t="s">
        <v>153</v>
      </c>
      <c r="AK52" s="3" t="s">
        <v>517</v>
      </c>
      <c r="AL52" s="3" t="s">
        <v>280</v>
      </c>
      <c r="AT52" s="3">
        <v>7.77493229E8</v>
      </c>
      <c r="AV52" s="3" t="s">
        <v>518</v>
      </c>
      <c r="AW52" s="3" t="b">
        <v>0</v>
      </c>
      <c r="BB52" s="3" t="s">
        <v>189</v>
      </c>
      <c r="BD52" s="3" t="s">
        <v>86</v>
      </c>
      <c r="BE52" s="3">
        <v>39.0</v>
      </c>
      <c r="BF52" s="3" t="s">
        <v>87</v>
      </c>
    </row>
    <row r="53">
      <c r="A53" s="2">
        <v>45923.66505957176</v>
      </c>
      <c r="B53" s="3" t="s">
        <v>519</v>
      </c>
      <c r="C53" s="9">
        <v>70.0</v>
      </c>
      <c r="D53" s="3" t="s">
        <v>125</v>
      </c>
      <c r="E53" s="3" t="s">
        <v>66</v>
      </c>
      <c r="F53" s="3" t="s">
        <v>520</v>
      </c>
      <c r="G53" s="3" t="s">
        <v>68</v>
      </c>
      <c r="H53" s="5">
        <v>2000.0</v>
      </c>
      <c r="I53" s="3" t="s">
        <v>521</v>
      </c>
      <c r="J53" s="3" t="b">
        <v>0</v>
      </c>
      <c r="L53" s="3" t="s">
        <v>91</v>
      </c>
      <c r="M53" s="3" t="s">
        <v>310</v>
      </c>
      <c r="O53" s="3" t="s">
        <v>93</v>
      </c>
      <c r="P53" s="3" t="s">
        <v>74</v>
      </c>
      <c r="Q53" s="3" t="s">
        <v>160</v>
      </c>
      <c r="R53" s="3" t="s">
        <v>522</v>
      </c>
      <c r="S53" s="3" t="s">
        <v>121</v>
      </c>
      <c r="T53" s="3" t="s">
        <v>387</v>
      </c>
      <c r="U53" s="3" t="s">
        <v>523</v>
      </c>
      <c r="V53" s="3" t="s">
        <v>524</v>
      </c>
      <c r="W53" s="3" t="s">
        <v>95</v>
      </c>
      <c r="X53" s="3" t="s">
        <v>99</v>
      </c>
      <c r="Y53" s="3" t="s">
        <v>205</v>
      </c>
      <c r="Z53" s="3" t="s">
        <v>150</v>
      </c>
      <c r="AA53" s="3" t="s">
        <v>135</v>
      </c>
      <c r="AB53" s="3" t="s">
        <v>184</v>
      </c>
      <c r="AC53" s="3">
        <v>5.0</v>
      </c>
      <c r="AD53" s="3" t="s">
        <v>136</v>
      </c>
      <c r="AE53" s="3" t="s">
        <v>105</v>
      </c>
      <c r="AF53" s="3">
        <v>3000.0</v>
      </c>
      <c r="AG53" s="3">
        <v>5000.0</v>
      </c>
      <c r="AH53" s="3" t="s">
        <v>168</v>
      </c>
      <c r="AI53" s="3" t="s">
        <v>145</v>
      </c>
      <c r="AJ53" s="3" t="s">
        <v>153</v>
      </c>
      <c r="AL53" s="3" t="s">
        <v>290</v>
      </c>
      <c r="AT53" s="3">
        <v>7.73181685E8</v>
      </c>
      <c r="AW53" s="3" t="b">
        <v>0</v>
      </c>
      <c r="BB53" s="3" t="s">
        <v>291</v>
      </c>
      <c r="BD53" s="3" t="s">
        <v>319</v>
      </c>
      <c r="BE53" s="3">
        <v>39.0</v>
      </c>
      <c r="BF53" s="3" t="s">
        <v>87</v>
      </c>
    </row>
    <row r="54">
      <c r="A54" s="2">
        <v>45923.67791121527</v>
      </c>
      <c r="B54" s="3" t="s">
        <v>525</v>
      </c>
      <c r="C54" s="9">
        <v>78.0</v>
      </c>
      <c r="D54" s="3" t="s">
        <v>125</v>
      </c>
      <c r="E54" s="3" t="s">
        <v>66</v>
      </c>
      <c r="F54" s="3" t="s">
        <v>526</v>
      </c>
      <c r="G54" s="3" t="s">
        <v>68</v>
      </c>
      <c r="H54" s="5">
        <v>2000.0</v>
      </c>
      <c r="I54" s="3" t="s">
        <v>527</v>
      </c>
      <c r="J54" s="3" t="b">
        <v>0</v>
      </c>
      <c r="L54" s="3" t="s">
        <v>91</v>
      </c>
      <c r="M54" s="3" t="s">
        <v>144</v>
      </c>
      <c r="O54" s="3" t="s">
        <v>93</v>
      </c>
      <c r="P54" s="8">
        <v>45750.0</v>
      </c>
      <c r="Q54" s="3" t="s">
        <v>160</v>
      </c>
      <c r="R54" s="3" t="s">
        <v>201</v>
      </c>
      <c r="S54" s="3" t="s">
        <v>82</v>
      </c>
      <c r="T54" s="3" t="s">
        <v>427</v>
      </c>
      <c r="U54" s="3" t="s">
        <v>162</v>
      </c>
      <c r="V54" s="3" t="s">
        <v>528</v>
      </c>
      <c r="W54" s="3" t="s">
        <v>361</v>
      </c>
      <c r="X54" s="3" t="s">
        <v>99</v>
      </c>
      <c r="Y54" s="3" t="s">
        <v>205</v>
      </c>
      <c r="Z54" s="3" t="s">
        <v>134</v>
      </c>
      <c r="AA54" s="3" t="s">
        <v>529</v>
      </c>
      <c r="AB54" s="3" t="s">
        <v>103</v>
      </c>
      <c r="AC54" s="3">
        <v>4.0</v>
      </c>
      <c r="AD54" s="3" t="s">
        <v>152</v>
      </c>
      <c r="AE54" s="3" t="s">
        <v>137</v>
      </c>
      <c r="AF54" s="3">
        <v>7000.0</v>
      </c>
      <c r="AG54" s="3">
        <v>15000.0</v>
      </c>
      <c r="AH54" s="3">
        <v>1500.0</v>
      </c>
      <c r="AI54" s="3" t="s">
        <v>169</v>
      </c>
      <c r="AJ54" s="3" t="s">
        <v>107</v>
      </c>
      <c r="AL54" s="3" t="s">
        <v>530</v>
      </c>
      <c r="AT54" s="6">
        <v>221785295491</v>
      </c>
      <c r="AW54" s="3" t="b">
        <v>0</v>
      </c>
      <c r="BB54" s="3" t="s">
        <v>400</v>
      </c>
      <c r="BD54" s="3" t="s">
        <v>86</v>
      </c>
      <c r="BE54" s="3">
        <v>39.0</v>
      </c>
      <c r="BF54" s="3" t="s">
        <v>87</v>
      </c>
    </row>
    <row r="55">
      <c r="A55" s="2">
        <v>45923.68178853009</v>
      </c>
      <c r="B55" s="3" t="s">
        <v>531</v>
      </c>
      <c r="C55" s="7">
        <v>15.0</v>
      </c>
      <c r="D55" s="3" t="s">
        <v>114</v>
      </c>
      <c r="E55" s="3" t="s">
        <v>66</v>
      </c>
      <c r="F55" s="3" t="s">
        <v>532</v>
      </c>
      <c r="G55" s="3" t="s">
        <v>68</v>
      </c>
      <c r="H55" s="5">
        <v>2000.0</v>
      </c>
      <c r="I55" s="3" t="s">
        <v>533</v>
      </c>
      <c r="J55" s="3" t="b">
        <v>0</v>
      </c>
      <c r="L55" s="3" t="s">
        <v>70</v>
      </c>
      <c r="M55" s="3" t="s">
        <v>71</v>
      </c>
      <c r="N55" s="3" t="s">
        <v>72</v>
      </c>
      <c r="O55" s="3" t="s">
        <v>216</v>
      </c>
      <c r="P55" s="8">
        <v>45750.0</v>
      </c>
      <c r="Q55" s="3" t="s">
        <v>75</v>
      </c>
      <c r="R55" s="3" t="s">
        <v>76</v>
      </c>
      <c r="S55" s="3" t="s">
        <v>76</v>
      </c>
      <c r="T55" s="3" t="s">
        <v>76</v>
      </c>
      <c r="U55" s="3" t="s">
        <v>76</v>
      </c>
      <c r="V55" s="3" t="s">
        <v>76</v>
      </c>
      <c r="Y55" s="3" t="s">
        <v>76</v>
      </c>
      <c r="Z55" s="3" t="s">
        <v>76</v>
      </c>
      <c r="AM55" s="3" t="s">
        <v>310</v>
      </c>
      <c r="AN55" s="3" t="s">
        <v>295</v>
      </c>
      <c r="AO55" s="3" t="s">
        <v>256</v>
      </c>
      <c r="AP55" s="3" t="s">
        <v>80</v>
      </c>
      <c r="AQ55" s="3">
        <v>5.0</v>
      </c>
      <c r="AR55" s="3" t="s">
        <v>296</v>
      </c>
      <c r="AS55" s="3">
        <v>2.0</v>
      </c>
      <c r="AT55" s="6">
        <v>33781536953</v>
      </c>
      <c r="AV55" s="3" t="s">
        <v>534</v>
      </c>
      <c r="AW55" s="3" t="b">
        <v>0</v>
      </c>
      <c r="AY55" s="3" t="s">
        <v>535</v>
      </c>
      <c r="BA55" s="3" t="s">
        <v>319</v>
      </c>
      <c r="BE55" s="3">
        <v>39.0</v>
      </c>
      <c r="BF55" s="3" t="s">
        <v>87</v>
      </c>
    </row>
    <row r="56">
      <c r="A56" s="2">
        <v>45923.69252498842</v>
      </c>
      <c r="B56" s="3" t="s">
        <v>536</v>
      </c>
      <c r="C56" s="9">
        <v>95.0</v>
      </c>
      <c r="D56" s="3" t="s">
        <v>125</v>
      </c>
      <c r="E56" s="3" t="s">
        <v>66</v>
      </c>
      <c r="F56" s="3" t="s">
        <v>537</v>
      </c>
      <c r="G56" s="3" t="s">
        <v>68</v>
      </c>
      <c r="H56" s="5">
        <v>2000.0</v>
      </c>
      <c r="I56" s="3" t="s">
        <v>538</v>
      </c>
      <c r="J56" s="3" t="b">
        <v>0</v>
      </c>
      <c r="L56" s="3" t="s">
        <v>91</v>
      </c>
      <c r="M56" s="3" t="s">
        <v>539</v>
      </c>
      <c r="O56" s="3" t="s">
        <v>93</v>
      </c>
      <c r="P56" s="8">
        <v>45813.0</v>
      </c>
      <c r="Q56" s="3" t="s">
        <v>75</v>
      </c>
      <c r="R56" s="3" t="s">
        <v>386</v>
      </c>
      <c r="S56" s="3" t="s">
        <v>121</v>
      </c>
      <c r="T56" s="3" t="s">
        <v>146</v>
      </c>
      <c r="U56" s="3" t="s">
        <v>396</v>
      </c>
      <c r="V56" s="3" t="s">
        <v>540</v>
      </c>
      <c r="W56" s="3" t="s">
        <v>95</v>
      </c>
      <c r="X56" s="3" t="s">
        <v>99</v>
      </c>
      <c r="Y56" s="3" t="s">
        <v>100</v>
      </c>
      <c r="Z56" s="3" t="s">
        <v>164</v>
      </c>
      <c r="AA56" s="3" t="s">
        <v>541</v>
      </c>
      <c r="AB56" s="3" t="s">
        <v>103</v>
      </c>
      <c r="AC56" s="3">
        <v>5.0</v>
      </c>
      <c r="AD56" s="3" t="s">
        <v>542</v>
      </c>
      <c r="AE56" s="3" t="s">
        <v>137</v>
      </c>
      <c r="AF56" s="3">
        <v>5000.0</v>
      </c>
      <c r="AG56" s="3">
        <v>10000.0</v>
      </c>
      <c r="AH56" s="3">
        <v>1500.0</v>
      </c>
      <c r="AI56" s="3" t="s">
        <v>145</v>
      </c>
      <c r="AJ56" s="3" t="s">
        <v>153</v>
      </c>
      <c r="AL56" s="3" t="s">
        <v>371</v>
      </c>
      <c r="AT56" s="3">
        <v>7.78459585E8</v>
      </c>
      <c r="AW56" s="3" t="b">
        <v>1</v>
      </c>
      <c r="BB56" s="3" t="s">
        <v>543</v>
      </c>
      <c r="BD56" s="3" t="s">
        <v>86</v>
      </c>
      <c r="BE56" s="3">
        <v>39.0</v>
      </c>
      <c r="BF56" s="3" t="s">
        <v>87</v>
      </c>
    </row>
    <row r="57">
      <c r="A57" s="2">
        <v>45923.702150428246</v>
      </c>
      <c r="B57" s="3" t="s">
        <v>544</v>
      </c>
      <c r="C57" s="9">
        <v>90.0</v>
      </c>
      <c r="D57" s="3" t="s">
        <v>125</v>
      </c>
      <c r="E57" s="3" t="s">
        <v>66</v>
      </c>
      <c r="F57" s="3" t="s">
        <v>545</v>
      </c>
      <c r="G57" s="3" t="s">
        <v>68</v>
      </c>
      <c r="H57" s="5">
        <v>2000.0</v>
      </c>
      <c r="I57" s="3" t="s">
        <v>546</v>
      </c>
      <c r="J57" s="3" t="b">
        <v>0</v>
      </c>
      <c r="L57" s="3" t="s">
        <v>91</v>
      </c>
      <c r="M57" s="3" t="s">
        <v>547</v>
      </c>
      <c r="O57" s="3" t="s">
        <v>117</v>
      </c>
      <c r="P57" s="3" t="s">
        <v>74</v>
      </c>
      <c r="Q57" s="3" t="s">
        <v>129</v>
      </c>
      <c r="R57" s="3" t="s">
        <v>548</v>
      </c>
      <c r="S57" s="3" t="s">
        <v>148</v>
      </c>
      <c r="T57" s="3" t="s">
        <v>96</v>
      </c>
      <c r="U57" s="3" t="s">
        <v>179</v>
      </c>
      <c r="V57" s="3" t="s">
        <v>549</v>
      </c>
      <c r="W57" s="3" t="s">
        <v>95</v>
      </c>
      <c r="X57" s="3" t="s">
        <v>99</v>
      </c>
      <c r="Y57" s="3" t="s">
        <v>100</v>
      </c>
      <c r="Z57" s="3" t="s">
        <v>164</v>
      </c>
      <c r="AA57" s="3" t="s">
        <v>102</v>
      </c>
      <c r="AB57" s="3" t="s">
        <v>184</v>
      </c>
      <c r="AC57" s="3">
        <v>5.0</v>
      </c>
      <c r="AD57" s="3" t="s">
        <v>352</v>
      </c>
      <c r="AE57" s="3" t="s">
        <v>105</v>
      </c>
      <c r="AF57" s="3">
        <v>4000.0</v>
      </c>
      <c r="AG57" s="3">
        <v>6000.0</v>
      </c>
      <c r="AH57" s="3">
        <v>500.0</v>
      </c>
      <c r="AI57" s="3" t="s">
        <v>185</v>
      </c>
      <c r="AJ57" s="3" t="s">
        <v>138</v>
      </c>
      <c r="AL57" s="3" t="s">
        <v>508</v>
      </c>
      <c r="AT57" s="6">
        <v>221706621725</v>
      </c>
      <c r="AU57" s="3" t="s">
        <v>550</v>
      </c>
      <c r="AV57" s="3" t="s">
        <v>551</v>
      </c>
      <c r="AW57" s="3" t="b">
        <v>1</v>
      </c>
      <c r="BB57" s="3" t="s">
        <v>552</v>
      </c>
      <c r="BD57" s="3" t="s">
        <v>86</v>
      </c>
      <c r="BE57" s="3">
        <v>39.0</v>
      </c>
      <c r="BF57" s="3" t="s">
        <v>87</v>
      </c>
    </row>
    <row r="58">
      <c r="A58" s="2">
        <v>45923.76048113426</v>
      </c>
      <c r="B58" s="3" t="s">
        <v>553</v>
      </c>
      <c r="C58" s="4">
        <v>65.0</v>
      </c>
      <c r="D58" s="3" t="s">
        <v>65</v>
      </c>
      <c r="E58" s="3" t="s">
        <v>66</v>
      </c>
      <c r="F58" s="3" t="s">
        <v>554</v>
      </c>
      <c r="G58" s="3" t="s">
        <v>68</v>
      </c>
      <c r="H58" s="5">
        <v>2000.0</v>
      </c>
      <c r="I58" s="3" t="s">
        <v>555</v>
      </c>
      <c r="J58" s="3" t="b">
        <v>0</v>
      </c>
      <c r="L58" s="3" t="s">
        <v>91</v>
      </c>
      <c r="M58" s="3" t="s">
        <v>177</v>
      </c>
      <c r="O58" s="3" t="s">
        <v>93</v>
      </c>
      <c r="P58" s="8">
        <v>45750.0</v>
      </c>
      <c r="Q58" s="3" t="s">
        <v>129</v>
      </c>
      <c r="R58" s="3" t="s">
        <v>548</v>
      </c>
      <c r="S58" s="3" t="s">
        <v>148</v>
      </c>
      <c r="T58" s="3" t="s">
        <v>96</v>
      </c>
      <c r="U58" s="3" t="s">
        <v>556</v>
      </c>
      <c r="V58" s="3" t="s">
        <v>351</v>
      </c>
      <c r="W58" s="3" t="s">
        <v>95</v>
      </c>
      <c r="X58" s="3" t="s">
        <v>163</v>
      </c>
      <c r="Y58" s="3" t="s">
        <v>205</v>
      </c>
      <c r="Z58" s="3" t="s">
        <v>101</v>
      </c>
      <c r="AA58" s="3" t="s">
        <v>557</v>
      </c>
      <c r="AB58" s="3" t="s">
        <v>103</v>
      </c>
      <c r="AC58" s="3">
        <v>4.0</v>
      </c>
      <c r="AD58" s="3" t="s">
        <v>352</v>
      </c>
      <c r="AE58" s="3" t="s">
        <v>137</v>
      </c>
      <c r="AF58" s="3">
        <v>5500.0</v>
      </c>
      <c r="AG58" s="3">
        <v>6500.0</v>
      </c>
      <c r="AH58" s="3" t="s">
        <v>168</v>
      </c>
      <c r="AI58" s="3" t="s">
        <v>106</v>
      </c>
      <c r="AJ58" s="3" t="s">
        <v>138</v>
      </c>
      <c r="AL58" s="3" t="s">
        <v>209</v>
      </c>
      <c r="AT58" s="3">
        <v>7.85999646E8</v>
      </c>
      <c r="AU58" s="3" t="s">
        <v>558</v>
      </c>
      <c r="AV58" s="3" t="s">
        <v>559</v>
      </c>
      <c r="AW58" s="3" t="b">
        <v>1</v>
      </c>
      <c r="BB58" s="3" t="s">
        <v>560</v>
      </c>
      <c r="BD58" s="3" t="s">
        <v>86</v>
      </c>
      <c r="BE58" s="3">
        <v>39.0</v>
      </c>
      <c r="BF58" s="3" t="s">
        <v>87</v>
      </c>
    </row>
    <row r="59">
      <c r="A59" s="2">
        <v>45923.78561278935</v>
      </c>
      <c r="B59" s="3" t="s">
        <v>561</v>
      </c>
      <c r="C59" s="4">
        <v>40.0</v>
      </c>
      <c r="D59" s="3" t="s">
        <v>65</v>
      </c>
      <c r="E59" s="3" t="s">
        <v>66</v>
      </c>
      <c r="F59" s="3" t="s">
        <v>562</v>
      </c>
      <c r="G59" s="3" t="s">
        <v>68</v>
      </c>
      <c r="H59" s="5">
        <v>2000.0</v>
      </c>
      <c r="I59" s="3" t="s">
        <v>563</v>
      </c>
      <c r="J59" s="3" t="b">
        <v>0</v>
      </c>
      <c r="L59" s="3" t="s">
        <v>70</v>
      </c>
      <c r="M59" s="3" t="s">
        <v>71</v>
      </c>
      <c r="N59" s="3" t="s">
        <v>72</v>
      </c>
      <c r="O59" s="3" t="s">
        <v>93</v>
      </c>
      <c r="P59" s="8">
        <v>45750.0</v>
      </c>
      <c r="Q59" s="3" t="s">
        <v>129</v>
      </c>
      <c r="R59" s="3" t="s">
        <v>76</v>
      </c>
      <c r="S59" s="3" t="s">
        <v>76</v>
      </c>
      <c r="T59" s="3" t="s">
        <v>76</v>
      </c>
      <c r="U59" s="3" t="s">
        <v>76</v>
      </c>
      <c r="V59" s="3" t="s">
        <v>76</v>
      </c>
      <c r="Y59" s="3" t="s">
        <v>76</v>
      </c>
      <c r="Z59" s="3" t="s">
        <v>76</v>
      </c>
      <c r="AM59" s="3" t="s">
        <v>77</v>
      </c>
      <c r="AN59" s="3" t="s">
        <v>420</v>
      </c>
      <c r="AO59" s="3" t="s">
        <v>564</v>
      </c>
      <c r="AP59" s="3" t="s">
        <v>196</v>
      </c>
      <c r="AQ59" s="3" t="s">
        <v>81</v>
      </c>
      <c r="AR59" s="3" t="s">
        <v>106</v>
      </c>
      <c r="AS59" s="3">
        <v>2.0</v>
      </c>
      <c r="AT59" s="3">
        <v>7.73341402E8</v>
      </c>
      <c r="AV59" s="3" t="s">
        <v>565</v>
      </c>
      <c r="AW59" s="3" t="b">
        <v>1</v>
      </c>
      <c r="AY59" s="3" t="s">
        <v>249</v>
      </c>
      <c r="BA59" s="3" t="s">
        <v>86</v>
      </c>
      <c r="BE59" s="3">
        <v>39.0</v>
      </c>
      <c r="BF59" s="3" t="s">
        <v>87</v>
      </c>
    </row>
    <row r="60">
      <c r="A60" s="2">
        <v>45923.98619761574</v>
      </c>
      <c r="B60" s="3" t="s">
        <v>566</v>
      </c>
      <c r="C60" s="7">
        <v>25.0</v>
      </c>
      <c r="D60" s="3" t="s">
        <v>114</v>
      </c>
      <c r="E60" s="3" t="s">
        <v>66</v>
      </c>
      <c r="F60" s="3" t="s">
        <v>567</v>
      </c>
      <c r="G60" s="3" t="s">
        <v>68</v>
      </c>
      <c r="H60" s="5">
        <v>2000.0</v>
      </c>
      <c r="I60" s="3" t="s">
        <v>568</v>
      </c>
      <c r="J60" s="3" t="b">
        <v>0</v>
      </c>
      <c r="L60" s="3" t="s">
        <v>70</v>
      </c>
      <c r="M60" s="3" t="s">
        <v>71</v>
      </c>
      <c r="N60" s="3" t="s">
        <v>72</v>
      </c>
      <c r="O60" s="3" t="s">
        <v>93</v>
      </c>
      <c r="P60" s="3" t="s">
        <v>74</v>
      </c>
      <c r="Q60" s="3" t="s">
        <v>129</v>
      </c>
      <c r="R60" s="3" t="s">
        <v>76</v>
      </c>
      <c r="S60" s="3" t="s">
        <v>76</v>
      </c>
      <c r="T60" s="3" t="s">
        <v>76</v>
      </c>
      <c r="U60" s="3" t="s">
        <v>76</v>
      </c>
      <c r="V60" s="3" t="s">
        <v>76</v>
      </c>
      <c r="Y60" s="3" t="s">
        <v>76</v>
      </c>
      <c r="Z60" s="3" t="s">
        <v>76</v>
      </c>
      <c r="AM60" s="3" t="s">
        <v>118</v>
      </c>
      <c r="AN60" s="3" t="s">
        <v>404</v>
      </c>
      <c r="AO60" s="3" t="s">
        <v>323</v>
      </c>
      <c r="AP60" s="3" t="s">
        <v>569</v>
      </c>
      <c r="AQ60" s="3">
        <v>5.0</v>
      </c>
      <c r="AR60" s="3" t="s">
        <v>296</v>
      </c>
      <c r="AS60" s="8">
        <v>45750.0</v>
      </c>
      <c r="AT60" s="6">
        <v>33637132392</v>
      </c>
      <c r="AW60" s="3" t="b">
        <v>0</v>
      </c>
      <c r="AY60" s="3" t="s">
        <v>123</v>
      </c>
      <c r="BA60" s="3" t="s">
        <v>190</v>
      </c>
      <c r="BE60" s="3">
        <v>39.0</v>
      </c>
      <c r="BF60" s="3" t="s">
        <v>87</v>
      </c>
    </row>
    <row r="61">
      <c r="A61" s="2">
        <v>45924.01900274305</v>
      </c>
      <c r="B61" s="3" t="s">
        <v>570</v>
      </c>
      <c r="C61" s="7">
        <v>20.0</v>
      </c>
      <c r="D61" s="3" t="s">
        <v>114</v>
      </c>
      <c r="E61" s="3" t="s">
        <v>66</v>
      </c>
      <c r="F61" s="3" t="s">
        <v>571</v>
      </c>
      <c r="G61" s="3" t="s">
        <v>68</v>
      </c>
      <c r="H61" s="5">
        <v>2000.0</v>
      </c>
      <c r="I61" s="3" t="s">
        <v>572</v>
      </c>
      <c r="J61" s="3" t="b">
        <v>0</v>
      </c>
      <c r="L61" s="3" t="s">
        <v>70</v>
      </c>
      <c r="M61" s="3" t="s">
        <v>71</v>
      </c>
      <c r="N61" s="3" t="s">
        <v>72</v>
      </c>
      <c r="O61" s="3" t="s">
        <v>117</v>
      </c>
      <c r="P61" s="3">
        <v>2.0</v>
      </c>
      <c r="Q61" s="3" t="s">
        <v>129</v>
      </c>
      <c r="R61" s="3" t="s">
        <v>76</v>
      </c>
      <c r="S61" s="3" t="s">
        <v>76</v>
      </c>
      <c r="T61" s="3" t="s">
        <v>76</v>
      </c>
      <c r="U61" s="3" t="s">
        <v>76</v>
      </c>
      <c r="V61" s="3" t="s">
        <v>76</v>
      </c>
      <c r="Y61" s="3" t="s">
        <v>76</v>
      </c>
      <c r="Z61" s="3" t="s">
        <v>76</v>
      </c>
      <c r="AM61" s="3" t="s">
        <v>217</v>
      </c>
      <c r="AN61" s="3" t="s">
        <v>573</v>
      </c>
      <c r="AO61" s="3" t="s">
        <v>79</v>
      </c>
      <c r="AP61" s="3" t="s">
        <v>196</v>
      </c>
      <c r="AQ61" s="3">
        <v>0.0</v>
      </c>
      <c r="AR61" s="3" t="s">
        <v>296</v>
      </c>
      <c r="AS61" s="3">
        <v>1.0</v>
      </c>
      <c r="AT61" s="6">
        <v>221787940561</v>
      </c>
      <c r="AW61" s="3" t="b">
        <v>0</v>
      </c>
      <c r="AY61" s="3" t="s">
        <v>297</v>
      </c>
      <c r="BA61" s="3" t="s">
        <v>86</v>
      </c>
      <c r="BE61" s="3">
        <v>39.0</v>
      </c>
      <c r="BF61" s="3" t="s">
        <v>87</v>
      </c>
    </row>
    <row r="62">
      <c r="A62" s="2">
        <v>45924.05308925926</v>
      </c>
      <c r="B62" s="3" t="s">
        <v>574</v>
      </c>
      <c r="C62" s="7">
        <v>35.0</v>
      </c>
      <c r="D62" s="3" t="s">
        <v>114</v>
      </c>
      <c r="E62" s="3" t="s">
        <v>66</v>
      </c>
      <c r="F62" s="3" t="s">
        <v>575</v>
      </c>
      <c r="G62" s="3" t="s">
        <v>68</v>
      </c>
      <c r="H62" s="5">
        <v>2000.0</v>
      </c>
      <c r="I62" s="3" t="s">
        <v>576</v>
      </c>
      <c r="J62" s="3" t="b">
        <v>0</v>
      </c>
      <c r="L62" s="3" t="s">
        <v>70</v>
      </c>
      <c r="M62" s="3" t="s">
        <v>71</v>
      </c>
      <c r="N62" s="3" t="s">
        <v>72</v>
      </c>
      <c r="O62" s="3" t="s">
        <v>216</v>
      </c>
      <c r="P62" s="8">
        <v>45813.0</v>
      </c>
      <c r="Q62" s="3" t="s">
        <v>75</v>
      </c>
      <c r="R62" s="3" t="s">
        <v>76</v>
      </c>
      <c r="S62" s="3" t="s">
        <v>76</v>
      </c>
      <c r="T62" s="3" t="s">
        <v>76</v>
      </c>
      <c r="U62" s="3" t="s">
        <v>76</v>
      </c>
      <c r="V62" s="3" t="s">
        <v>76</v>
      </c>
      <c r="Y62" s="3" t="s">
        <v>76</v>
      </c>
      <c r="Z62" s="3" t="s">
        <v>76</v>
      </c>
      <c r="AM62" s="3" t="s">
        <v>268</v>
      </c>
      <c r="AN62" s="3" t="s">
        <v>194</v>
      </c>
      <c r="AO62" s="3" t="s">
        <v>323</v>
      </c>
      <c r="AP62" s="3" t="s">
        <v>196</v>
      </c>
      <c r="AQ62" s="3">
        <v>5.0</v>
      </c>
      <c r="AR62" s="3" t="s">
        <v>121</v>
      </c>
      <c r="AS62" s="3">
        <v>2.0</v>
      </c>
      <c r="AT62" s="6">
        <v>33685380442</v>
      </c>
      <c r="AU62" s="3" t="s">
        <v>577</v>
      </c>
      <c r="AV62" s="3" t="s">
        <v>578</v>
      </c>
      <c r="AW62" s="3" t="b">
        <v>1</v>
      </c>
      <c r="AY62" s="3" t="s">
        <v>249</v>
      </c>
      <c r="BA62" s="3" t="s">
        <v>190</v>
      </c>
      <c r="BE62" s="3">
        <v>39.0</v>
      </c>
      <c r="BF62" s="3" t="s">
        <v>87</v>
      </c>
    </row>
    <row r="63">
      <c r="A63" s="2">
        <v>45924.07449752315</v>
      </c>
      <c r="B63" s="3" t="s">
        <v>579</v>
      </c>
      <c r="C63" s="7">
        <v>35.0</v>
      </c>
      <c r="D63" s="3" t="s">
        <v>114</v>
      </c>
      <c r="E63" s="3" t="s">
        <v>66</v>
      </c>
      <c r="F63" s="3" t="s">
        <v>580</v>
      </c>
      <c r="G63" s="3" t="s">
        <v>68</v>
      </c>
      <c r="H63" s="5">
        <v>2000.0</v>
      </c>
      <c r="I63" s="3" t="s">
        <v>581</v>
      </c>
      <c r="J63" s="3" t="b">
        <v>0</v>
      </c>
      <c r="L63" s="3" t="s">
        <v>70</v>
      </c>
      <c r="M63" s="3" t="s">
        <v>71</v>
      </c>
      <c r="N63" s="3" t="s">
        <v>479</v>
      </c>
      <c r="O63" s="3" t="s">
        <v>93</v>
      </c>
      <c r="P63" s="8">
        <v>45813.0</v>
      </c>
      <c r="Q63" s="3" t="s">
        <v>129</v>
      </c>
      <c r="R63" s="3" t="s">
        <v>76</v>
      </c>
      <c r="S63" s="3" t="s">
        <v>76</v>
      </c>
      <c r="T63" s="3" t="s">
        <v>76</v>
      </c>
      <c r="U63" s="3" t="s">
        <v>76</v>
      </c>
      <c r="V63" s="3" t="s">
        <v>76</v>
      </c>
      <c r="Y63" s="3" t="s">
        <v>76</v>
      </c>
      <c r="Z63" s="3" t="s">
        <v>76</v>
      </c>
      <c r="AM63" s="3" t="s">
        <v>582</v>
      </c>
      <c r="AN63" s="3" t="s">
        <v>377</v>
      </c>
      <c r="AO63" s="3" t="s">
        <v>260</v>
      </c>
      <c r="AP63" s="3" t="s">
        <v>80</v>
      </c>
      <c r="AQ63" s="3">
        <v>0.0</v>
      </c>
      <c r="AR63" s="3" t="s">
        <v>106</v>
      </c>
      <c r="AS63" s="3">
        <v>2.0</v>
      </c>
      <c r="AT63" s="3">
        <v>7.74035961E8</v>
      </c>
      <c r="AW63" s="3" t="b">
        <v>1</v>
      </c>
      <c r="AY63" s="3" t="s">
        <v>197</v>
      </c>
      <c r="BA63" s="3" t="s">
        <v>190</v>
      </c>
      <c r="BE63" s="3">
        <v>39.0</v>
      </c>
      <c r="BF63" s="3" t="s">
        <v>87</v>
      </c>
    </row>
    <row r="64">
      <c r="A64" s="2">
        <v>45924.19970199074</v>
      </c>
      <c r="B64" s="3" t="s">
        <v>583</v>
      </c>
      <c r="C64" s="7">
        <v>30.0</v>
      </c>
      <c r="D64" s="3" t="s">
        <v>114</v>
      </c>
      <c r="E64" s="3" t="s">
        <v>66</v>
      </c>
      <c r="F64" s="3" t="s">
        <v>584</v>
      </c>
      <c r="G64" s="3" t="s">
        <v>68</v>
      </c>
      <c r="H64" s="5">
        <v>2000.0</v>
      </c>
      <c r="I64" s="3" t="s">
        <v>585</v>
      </c>
      <c r="J64" s="3" t="b">
        <v>0</v>
      </c>
      <c r="L64" s="3" t="s">
        <v>70</v>
      </c>
      <c r="M64" s="3" t="s">
        <v>71</v>
      </c>
      <c r="N64" s="3" t="s">
        <v>72</v>
      </c>
      <c r="O64" s="3" t="s">
        <v>93</v>
      </c>
      <c r="P64" s="8">
        <v>45750.0</v>
      </c>
      <c r="Q64" s="3" t="s">
        <v>129</v>
      </c>
      <c r="R64" s="3" t="s">
        <v>76</v>
      </c>
      <c r="S64" s="3" t="s">
        <v>76</v>
      </c>
      <c r="T64" s="3" t="s">
        <v>76</v>
      </c>
      <c r="U64" s="3" t="s">
        <v>76</v>
      </c>
      <c r="V64" s="3" t="s">
        <v>76</v>
      </c>
      <c r="Y64" s="3" t="s">
        <v>76</v>
      </c>
      <c r="Z64" s="3" t="s">
        <v>76</v>
      </c>
      <c r="AM64" s="3" t="s">
        <v>234</v>
      </c>
      <c r="AN64" s="3" t="s">
        <v>586</v>
      </c>
      <c r="AO64" s="3" t="s">
        <v>458</v>
      </c>
      <c r="AP64" s="3" t="s">
        <v>80</v>
      </c>
      <c r="AQ64" s="3">
        <v>5.0</v>
      </c>
      <c r="AR64" s="3" t="s">
        <v>296</v>
      </c>
      <c r="AS64" s="3">
        <v>1.0</v>
      </c>
      <c r="AT64" s="6">
        <v>330750254523</v>
      </c>
      <c r="AU64" s="3" t="s">
        <v>587</v>
      </c>
      <c r="AV64" s="3" t="s">
        <v>588</v>
      </c>
      <c r="AW64" s="3" t="b">
        <v>1</v>
      </c>
      <c r="AY64" s="3" t="s">
        <v>197</v>
      </c>
      <c r="BA64" s="3" t="s">
        <v>190</v>
      </c>
      <c r="BE64" s="3">
        <v>39.0</v>
      </c>
      <c r="BF64" s="3" t="s">
        <v>87</v>
      </c>
    </row>
    <row r="65">
      <c r="A65" s="2">
        <v>45924.52544527777</v>
      </c>
      <c r="B65" s="3" t="s">
        <v>589</v>
      </c>
      <c r="C65" s="7">
        <v>35.0</v>
      </c>
      <c r="D65" s="3" t="s">
        <v>114</v>
      </c>
      <c r="E65" s="3" t="s">
        <v>66</v>
      </c>
      <c r="F65" s="3" t="s">
        <v>590</v>
      </c>
      <c r="G65" s="3" t="s">
        <v>68</v>
      </c>
      <c r="H65" s="5">
        <v>2000.0</v>
      </c>
      <c r="I65" s="3" t="s">
        <v>591</v>
      </c>
      <c r="J65" s="3" t="b">
        <v>0</v>
      </c>
      <c r="L65" s="3" t="s">
        <v>70</v>
      </c>
      <c r="M65" s="3" t="s">
        <v>71</v>
      </c>
      <c r="N65" s="3" t="s">
        <v>72</v>
      </c>
      <c r="O65" s="3" t="s">
        <v>93</v>
      </c>
      <c r="P65" s="8">
        <v>45813.0</v>
      </c>
      <c r="Q65" s="3" t="s">
        <v>129</v>
      </c>
      <c r="R65" s="3" t="s">
        <v>76</v>
      </c>
      <c r="S65" s="3" t="s">
        <v>76</v>
      </c>
      <c r="T65" s="3" t="s">
        <v>76</v>
      </c>
      <c r="U65" s="3" t="s">
        <v>76</v>
      </c>
      <c r="V65" s="3" t="s">
        <v>76</v>
      </c>
      <c r="Y65" s="3" t="s">
        <v>76</v>
      </c>
      <c r="Z65" s="3" t="s">
        <v>76</v>
      </c>
      <c r="AM65" s="3" t="s">
        <v>301</v>
      </c>
      <c r="AN65" s="3" t="s">
        <v>119</v>
      </c>
      <c r="AO65" s="3" t="s">
        <v>334</v>
      </c>
      <c r="AP65" s="3" t="s">
        <v>569</v>
      </c>
      <c r="AQ65" s="3">
        <v>0.0</v>
      </c>
      <c r="AR65" s="3" t="s">
        <v>121</v>
      </c>
      <c r="AS65" s="3">
        <v>1.0</v>
      </c>
      <c r="AT65" s="3">
        <v>7.78624517E8</v>
      </c>
      <c r="AU65" s="3" t="s">
        <v>592</v>
      </c>
      <c r="AV65" s="3" t="s">
        <v>593</v>
      </c>
      <c r="AW65" s="3" t="b">
        <v>1</v>
      </c>
      <c r="AX65" s="3" t="s">
        <v>594</v>
      </c>
      <c r="AY65" s="3" t="s">
        <v>219</v>
      </c>
      <c r="AZ65" s="3" t="s">
        <v>595</v>
      </c>
      <c r="BA65" s="3" t="s">
        <v>86</v>
      </c>
      <c r="BE65" s="3">
        <v>39.0</v>
      </c>
      <c r="BF65" s="3" t="s">
        <v>87</v>
      </c>
    </row>
    <row r="66">
      <c r="A66" s="2">
        <v>45925.475955358794</v>
      </c>
      <c r="B66" s="3" t="s">
        <v>596</v>
      </c>
      <c r="C66" s="7">
        <v>25.0</v>
      </c>
      <c r="D66" s="3" t="s">
        <v>114</v>
      </c>
      <c r="E66" s="3" t="s">
        <v>66</v>
      </c>
      <c r="F66" s="3" t="s">
        <v>597</v>
      </c>
      <c r="G66" s="3" t="s">
        <v>68</v>
      </c>
      <c r="H66" s="5">
        <v>2000.0</v>
      </c>
      <c r="I66" s="3" t="s">
        <v>598</v>
      </c>
      <c r="J66" s="3" t="b">
        <v>0</v>
      </c>
      <c r="L66" s="3" t="s">
        <v>70</v>
      </c>
      <c r="M66" s="3" t="s">
        <v>71</v>
      </c>
      <c r="N66" s="3" t="s">
        <v>72</v>
      </c>
      <c r="O66" s="3" t="s">
        <v>73</v>
      </c>
      <c r="P66" s="3" t="s">
        <v>74</v>
      </c>
      <c r="Q66" s="3" t="s">
        <v>75</v>
      </c>
      <c r="R66" s="3" t="s">
        <v>76</v>
      </c>
      <c r="S66" s="3" t="s">
        <v>76</v>
      </c>
      <c r="T66" s="3" t="s">
        <v>76</v>
      </c>
      <c r="U66" s="3" t="s">
        <v>76</v>
      </c>
      <c r="V66" s="3" t="s">
        <v>76</v>
      </c>
      <c r="Y66" s="3" t="s">
        <v>76</v>
      </c>
      <c r="Z66" s="3" t="s">
        <v>76</v>
      </c>
      <c r="AM66" s="3" t="s">
        <v>118</v>
      </c>
      <c r="AN66" s="3" t="s">
        <v>377</v>
      </c>
      <c r="AO66" s="3" t="s">
        <v>436</v>
      </c>
      <c r="AP66" s="3" t="s">
        <v>80</v>
      </c>
      <c r="AQ66" s="3">
        <v>5.0</v>
      </c>
      <c r="AR66" s="3" t="s">
        <v>145</v>
      </c>
      <c r="AS66" s="3">
        <v>2.0</v>
      </c>
      <c r="AT66" s="6">
        <v>221773072914</v>
      </c>
      <c r="AU66" s="3" t="s">
        <v>599</v>
      </c>
      <c r="AW66" s="3" t="b">
        <v>0</v>
      </c>
      <c r="AX66" s="3" t="s">
        <v>600</v>
      </c>
      <c r="AY66" s="3" t="s">
        <v>123</v>
      </c>
      <c r="AZ66" s="3" t="s">
        <v>601</v>
      </c>
      <c r="BA66" s="3" t="s">
        <v>86</v>
      </c>
      <c r="BE66" s="3">
        <v>39.0</v>
      </c>
      <c r="BF66" s="3" t="s">
        <v>87</v>
      </c>
    </row>
    <row r="67">
      <c r="A67" s="2">
        <v>45925.82482601852</v>
      </c>
      <c r="B67" s="3" t="s">
        <v>602</v>
      </c>
      <c r="C67" s="7">
        <v>25.0</v>
      </c>
      <c r="D67" s="3" t="s">
        <v>114</v>
      </c>
      <c r="E67" s="3" t="s">
        <v>66</v>
      </c>
      <c r="F67" s="3" t="s">
        <v>603</v>
      </c>
      <c r="G67" s="3" t="s">
        <v>68</v>
      </c>
      <c r="H67" s="5">
        <v>2000.0</v>
      </c>
      <c r="I67" s="3" t="s">
        <v>604</v>
      </c>
      <c r="J67" s="3" t="b">
        <v>0</v>
      </c>
      <c r="L67" s="3" t="s">
        <v>70</v>
      </c>
      <c r="M67" s="3" t="s">
        <v>71</v>
      </c>
      <c r="N67" s="3" t="s">
        <v>72</v>
      </c>
      <c r="O67" s="3" t="s">
        <v>73</v>
      </c>
      <c r="P67" s="3" t="s">
        <v>74</v>
      </c>
      <c r="Q67" s="3" t="s">
        <v>75</v>
      </c>
      <c r="R67" s="3" t="s">
        <v>76</v>
      </c>
      <c r="S67" s="3" t="s">
        <v>76</v>
      </c>
      <c r="T67" s="3" t="s">
        <v>76</v>
      </c>
      <c r="U67" s="3" t="s">
        <v>76</v>
      </c>
      <c r="V67" s="3" t="s">
        <v>76</v>
      </c>
      <c r="Y67" s="3" t="s">
        <v>76</v>
      </c>
      <c r="Z67" s="3" t="s">
        <v>76</v>
      </c>
      <c r="AM67" s="3" t="s">
        <v>118</v>
      </c>
      <c r="AN67" s="3" t="s">
        <v>318</v>
      </c>
      <c r="AP67" s="3" t="s">
        <v>80</v>
      </c>
      <c r="AQ67" s="3" t="s">
        <v>81</v>
      </c>
      <c r="AR67" s="3" t="s">
        <v>121</v>
      </c>
      <c r="AS67" s="3">
        <v>1.0</v>
      </c>
      <c r="AT67" s="6">
        <v>34632472926</v>
      </c>
      <c r="AU67" s="3" t="s">
        <v>605</v>
      </c>
      <c r="AV67" s="3" t="s">
        <v>606</v>
      </c>
      <c r="AW67" s="3" t="b">
        <v>1</v>
      </c>
      <c r="AY67" s="3" t="s">
        <v>177</v>
      </c>
      <c r="BA67" s="3" t="s">
        <v>319</v>
      </c>
      <c r="BE67" s="3">
        <v>39.0</v>
      </c>
      <c r="BF67" s="3" t="s">
        <v>87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607</v>
      </c>
    </row>
    <row r="3">
      <c r="A3" s="11" t="s">
        <v>608</v>
      </c>
      <c r="B3" s="11" t="s">
        <v>609</v>
      </c>
      <c r="C3" s="11" t="s">
        <v>610</v>
      </c>
      <c r="D3" s="11" t="s">
        <v>611</v>
      </c>
    </row>
    <row r="4">
      <c r="A4" s="3" t="s">
        <v>612</v>
      </c>
      <c r="B4" s="6">
        <f>COUNTA(Responses!A:A)-1</f>
        <v>66</v>
      </c>
      <c r="C4" s="3">
        <v>500.0</v>
      </c>
      <c r="D4" s="12">
        <f t="shared" ref="D4:D6" si="1">B4/C4</f>
        <v>0.132</v>
      </c>
    </row>
    <row r="5">
      <c r="A5" s="3" t="s">
        <v>613</v>
      </c>
      <c r="B5" s="6" t="str">
        <f>COUNTIF(Responses!C:C,"&gt;=70")</f>
        <v>#ERROR!</v>
      </c>
      <c r="C5" s="3">
        <v>150.0</v>
      </c>
      <c r="D5" s="12" t="str">
        <f t="shared" si="1"/>
        <v>#ERROR!</v>
      </c>
    </row>
    <row r="6">
      <c r="A6" s="3" t="s">
        <v>614</v>
      </c>
      <c r="B6" s="6" t="str">
        <f>COUNTIFS(Responses!C:C,"&gt;=40",Responses!C:C,"&lt;70")</f>
        <v>#ERROR!</v>
      </c>
      <c r="C6" s="3">
        <v>200.0</v>
      </c>
      <c r="D6" s="12" t="str">
        <f t="shared" si="1"/>
        <v>#ERROR!</v>
      </c>
    </row>
    <row r="7">
      <c r="A7" s="3" t="s">
        <v>615</v>
      </c>
      <c r="B7" s="6" t="str">
        <f>COUNTIF(Responses!C:C,"&lt;40")</f>
        <v>#ERROR!</v>
      </c>
      <c r="C7" s="3" t="s">
        <v>616</v>
      </c>
      <c r="D7" s="13"/>
    </row>
    <row r="8">
      <c r="A8" s="3" t="s">
        <v>617</v>
      </c>
      <c r="B8" s="6" t="str">
        <f>IFERROR(AVERAGE(Responses!C:C),0)</f>
        <v>#ERROR!</v>
      </c>
      <c r="C8" s="3">
        <v>60.0</v>
      </c>
      <c r="D8" s="12" t="str">
        <f t="shared" ref="D8:D11" si="2">B8/C8</f>
        <v>#ERROR!</v>
      </c>
    </row>
    <row r="9">
      <c r="A9" s="3" t="s">
        <v>618</v>
      </c>
      <c r="B9" s="6" t="str">
        <f>COUNTIF(Responses!AV:AV,TRUE)</f>
        <v>#ERROR!</v>
      </c>
      <c r="C9" s="3">
        <v>100.0</v>
      </c>
      <c r="D9" s="12" t="str">
        <f t="shared" si="2"/>
        <v>#ERROR!</v>
      </c>
    </row>
    <row r="10">
      <c r="A10" s="3" t="s">
        <v>619</v>
      </c>
      <c r="B10" s="6" t="str">
        <f>COUNTIF(Responses!L:L,"etranger")</f>
        <v>#ERROR!</v>
      </c>
      <c r="C10" s="3">
        <v>50.0</v>
      </c>
      <c r="D10" s="13" t="str">
        <f t="shared" si="2"/>
        <v>#ERROR!</v>
      </c>
    </row>
    <row r="11">
      <c r="A11" s="3" t="s">
        <v>620</v>
      </c>
      <c r="B11" s="6" t="str">
        <f>IFERROR(B5/B4,0)</f>
        <v>#ERROR!</v>
      </c>
      <c r="C11" s="14">
        <v>0.3</v>
      </c>
      <c r="D11" s="12" t="str">
        <f t="shared" si="2"/>
        <v>#ERROR!</v>
      </c>
    </row>
    <row r="13">
      <c r="A13" s="3" t="s">
        <v>621</v>
      </c>
      <c r="B13" s="3" t="s">
        <v>622</v>
      </c>
    </row>
    <row r="14">
      <c r="A14" s="6" t="str">
        <f>IFERROR(INDEX(SORT(UNIQUE(FILTER(Responses!M:M,Responses!M:M&lt;&gt;"Quartier/Zone",Responses!M:M&lt;&gt;"",Responses!M:M&lt;&gt;"Diaspora")),1,TRUE),1),"N/A")</f>
        <v>#ERROR!</v>
      </c>
      <c r="B14" s="6" t="str">
        <f>IFERROR(COUNTIF(Responses!M:M,A14),0)</f>
        <v>#ERROR!</v>
      </c>
    </row>
    <row r="15">
      <c r="A15" s="6" t="str">
        <f>IFERROR(INDEX(SORT(UNIQUE(FILTER(Responses!M:M,Responses!M:M&lt;&gt;"Quartier/Zone",Responses!M:M&lt;&gt;"",Responses!M:M&lt;&gt;"Diaspora")),1,TRUE),2),"N/A")</f>
        <v>#ERROR!</v>
      </c>
      <c r="B15" s="6" t="str">
        <f>IFERROR(COUNTIF(Responses!M:M,A15),0)</f>
        <v>#ERROR!</v>
      </c>
    </row>
    <row r="16">
      <c r="A16" s="3" t="str">
        <f>IFERROR(INDEX(SORT(UNIQUE(FILTER(Responses!M:M,Responses!M:M&lt;&gt;"Quartier/Zone",Responses!M:M&lt;&gt;"",Responses!M:M&lt;&gt;"Diaspora")),1,TRUE),3),"N/A")</f>
        <v>#ERROR!</v>
      </c>
      <c r="B16" s="3" t="str">
        <f>IFERROR(COUNTIF(Responses!M:M,A16),0)</f>
        <v>#ERROR!</v>
      </c>
      <c r="C16" s="3"/>
      <c r="D16" s="3"/>
    </row>
    <row r="17">
      <c r="A17" s="6" t="str">
        <f>IFERROR(INDEX(SORT(UNIQUE(FILTER(Responses!M:M,Responses!M:M&lt;&gt;"Quartier/Zone",Responses!M:M&lt;&gt;"",Responses!M:M&lt;&gt;"Diaspora")),1,TRUE),4),"N/A")</f>
        <v>#ERROR!</v>
      </c>
      <c r="B17" s="6" t="str">
        <f>IFERROR(COUNTIF(Responses!M:M,A17),0)</f>
        <v>#ERROR!</v>
      </c>
    </row>
    <row r="18">
      <c r="A18" s="6" t="str">
        <f>IFERROR(INDEX(SORT(UNIQUE(FILTER(Responses!M:M,Responses!M:M&lt;&gt;"Quartier/Zone",Responses!M:M&lt;&gt;"",Responses!M:M&lt;&gt;"Diaspora")),1,TRUE),5),"N/A")</f>
        <v>#ERROR!</v>
      </c>
      <c r="B18" s="6" t="str">
        <f>IFERROR(COUNTIF(Responses!M:M,A18),0)</f>
        <v>#ERROR!</v>
      </c>
    </row>
    <row r="20">
      <c r="A20" s="3" t="s">
        <v>623</v>
      </c>
    </row>
    <row r="21">
      <c r="A21" s="3" t="s">
        <v>624</v>
      </c>
      <c r="B21" s="3" t="s">
        <v>625</v>
      </c>
      <c r="C21" s="3" t="s">
        <v>626</v>
      </c>
      <c r="D21" s="3" t="s">
        <v>71</v>
      </c>
    </row>
    <row r="22">
      <c r="A22" s="15">
        <f>TODAY()-6</f>
        <v>45921</v>
      </c>
      <c r="B22" s="6" t="str">
        <f>COUNTIFS(Responses!A:A,"&gt;="&amp;A22,Responses!A:A,"&lt;"&amp;A22+1)</f>
        <v>#ERROR!</v>
      </c>
      <c r="C22" s="6" t="str">
        <f>COUNTIFS(Responses!A:A,"&gt;="&amp;A22,Responses!A:A,"&lt;"&amp;A22+1,Responses!C:C,"&gt;=70")</f>
        <v>#ERROR!</v>
      </c>
      <c r="D22" s="6" t="str">
        <f>COUNTIFS(Responses!A:A,"&gt;="&amp;A22,Responses!A:A,"&lt;"&amp;A22+1,Responses!L:L,"etranger")</f>
        <v>#ERROR!</v>
      </c>
    </row>
    <row r="23">
      <c r="A23" s="15">
        <f>TODAY()-5</f>
        <v>45922</v>
      </c>
      <c r="B23" s="6" t="str">
        <f>COUNTIFS(Responses!A:A,"&gt;="&amp;A23,Responses!A:A,"&lt;"&amp;A23+1)</f>
        <v>#ERROR!</v>
      </c>
      <c r="C23" s="6" t="str">
        <f>COUNTIFS(Responses!A:A,"&gt;="&amp;A23,Responses!A:A,"&lt;"&amp;A23+1,Responses!C:C,"&gt;=70")</f>
        <v>#ERROR!</v>
      </c>
      <c r="D23" s="6" t="str">
        <f>COUNTIFS(Responses!A:A,"&gt;="&amp;A23,Responses!A:A,"&lt;"&amp;A23+1,Responses!L:L,"etranger")</f>
        <v>#ERROR!</v>
      </c>
    </row>
    <row r="24">
      <c r="A24" s="15">
        <f>TODAY()-4</f>
        <v>45923</v>
      </c>
      <c r="B24" s="6" t="str">
        <f>COUNTIFS(Responses!A:A,"&gt;="&amp;A24,Responses!A:A,"&lt;"&amp;A24+1)</f>
        <v>#ERROR!</v>
      </c>
      <c r="C24" s="6" t="str">
        <f>COUNTIFS(Responses!A:A,"&gt;="&amp;A24,Responses!A:A,"&lt;"&amp;A24+1,Responses!C:C,"&gt;=70")</f>
        <v>#ERROR!</v>
      </c>
      <c r="D24" s="6" t="str">
        <f>COUNTIFS(Responses!A:A,"&gt;="&amp;A24,Responses!A:A,"&lt;"&amp;A24+1,Responses!L:L,"etranger")</f>
        <v>#ERROR!</v>
      </c>
    </row>
    <row r="25">
      <c r="A25" s="15">
        <f>TODAY()-3</f>
        <v>45924</v>
      </c>
      <c r="B25" s="6" t="str">
        <f>COUNTIFS(Responses!A:A,"&gt;="&amp;A25,Responses!A:A,"&lt;"&amp;A25+1)</f>
        <v>#ERROR!</v>
      </c>
      <c r="C25" s="6" t="str">
        <f>COUNTIFS(Responses!A:A,"&gt;="&amp;A25,Responses!A:A,"&lt;"&amp;A25+1,Responses!C:C,"&gt;=70")</f>
        <v>#ERROR!</v>
      </c>
      <c r="D25" s="6" t="str">
        <f>COUNTIFS(Responses!A:A,"&gt;="&amp;A25,Responses!A:A,"&lt;"&amp;A25+1,Responses!L:L,"etranger")</f>
        <v>#ERROR!</v>
      </c>
    </row>
    <row r="26">
      <c r="A26" s="15">
        <f>TODAY()-2</f>
        <v>45925</v>
      </c>
      <c r="B26" s="6" t="str">
        <f>COUNTIFS(Responses!A:A,"&gt;="&amp;A26,Responses!A:A,"&lt;"&amp;A26+1)</f>
        <v>#ERROR!</v>
      </c>
      <c r="C26" s="6" t="str">
        <f>COUNTIFS(Responses!A:A,"&gt;="&amp;A26,Responses!A:A,"&lt;"&amp;A26+1,Responses!C:C,"&gt;=70")</f>
        <v>#ERROR!</v>
      </c>
      <c r="D26" s="6" t="str">
        <f>COUNTIFS(Responses!A:A,"&gt;="&amp;A26,Responses!A:A,"&lt;"&amp;A26+1,Responses!L:L,"etranger")</f>
        <v>#ERROR!</v>
      </c>
    </row>
    <row r="27">
      <c r="A27" s="15">
        <f>TODAY()-1</f>
        <v>45926</v>
      </c>
      <c r="B27" s="6" t="str">
        <f>COUNTIFS(Responses!A:A,"&gt;="&amp;A27,Responses!A:A,"&lt;"&amp;A27+1)</f>
        <v>#ERROR!</v>
      </c>
      <c r="C27" s="6" t="str">
        <f>COUNTIFS(Responses!A:A,"&gt;="&amp;A27,Responses!A:A,"&lt;"&amp;A27+1,Responses!C:C,"&gt;=70")</f>
        <v>#ERROR!</v>
      </c>
      <c r="D27" s="6" t="str">
        <f>COUNTIFS(Responses!A:A,"&gt;="&amp;A27,Responses!A:A,"&lt;"&amp;A27+1,Responses!L:L,"etranger")</f>
        <v>#ERROR!</v>
      </c>
    </row>
    <row r="28">
      <c r="A28" s="15">
        <f>TODAY()</f>
        <v>45927</v>
      </c>
      <c r="B28" s="6" t="str">
        <f>COUNTIFS(Responses!A:A,"&gt;="&amp;A28,Responses!A:A,"&lt;"&amp;A28+1)</f>
        <v>#ERROR!</v>
      </c>
      <c r="C28" s="6" t="str">
        <f>COUNTIFS(Responses!A:A,"&gt;="&amp;A28,Responses!A:A,"&lt;"&amp;A28+1,Responses!C:C,"&gt;=70")</f>
        <v>#ERROR!</v>
      </c>
      <c r="D28" s="6" t="str">
        <f>COUNTIFS(Responses!A:A,"&gt;="&amp;A28,Responses!A:A,"&lt;"&amp;A28+1,Responses!L:L,"etranger")</f>
        <v>#ERROR!</v>
      </c>
    </row>
  </sheetData>
  <mergeCells count="1">
    <mergeCell ref="A1:D1"/>
  </mergeCells>
  <conditionalFormatting sqref="B4:B11">
    <cfRule type="cellIs" dxfId="0" priority="1" stopIfTrue="1" operator="greaterThanOrEqual">
      <formula>50</formula>
    </cfRule>
  </conditionalFormatting>
  <conditionalFormatting sqref="B4:B11">
    <cfRule type="cellIs" dxfId="0" priority="2" stopIfTrue="1" operator="greaterThanOrEqual">
      <formula>50</formula>
    </cfRule>
  </conditionalFormatting>
  <conditionalFormatting sqref="B4:B11">
    <cfRule type="cellIs" dxfId="0" priority="3" stopIfTrue="1" operator="greaterThanOrEqual">
      <formula>50</formula>
    </cfRule>
  </conditionalFormatting>
  <conditionalFormatting sqref="B4:B11">
    <cfRule type="cellIs" dxfId="0" priority="4" stopIfTrue="1" operator="greaterThanOrEqual">
      <formula>50</formula>
    </cfRule>
  </conditionalFormatting>
  <conditionalFormatting sqref="B4:B11">
    <cfRule type="cellIs" dxfId="0" priority="5" stopIfTrue="1" operator="greaterThanOrEqual">
      <formula>50</formula>
    </cfRule>
  </conditionalFormatting>
  <conditionalFormatting sqref="D4:D11">
    <cfRule type="cellIs" dxfId="1" priority="6" stopIfTrue="1" operator="greaterThanOrEqual">
      <formula>1</formula>
    </cfRule>
  </conditionalFormatting>
  <conditionalFormatting sqref="D4:D11">
    <cfRule type="cellIs" dxfId="2" priority="7" stopIfTrue="1" operator="between">
      <formula>0.5</formula>
      <formula>0.99</formula>
    </cfRule>
  </conditionalFormatting>
  <conditionalFormatting sqref="D4:D11">
    <cfRule type="cellIs" dxfId="3" priority="8" stopIfTrue="1" operator="lessThan">
      <formula>0.5</formula>
    </cfRule>
  </conditionalFormatting>
  <conditionalFormatting sqref="D4:D11">
    <cfRule type="cellIs" dxfId="1" priority="9" stopIfTrue="1" operator="greaterThanOrEqual">
      <formula>1</formula>
    </cfRule>
  </conditionalFormatting>
  <conditionalFormatting sqref="D4:D11">
    <cfRule type="cellIs" dxfId="2" priority="10" stopIfTrue="1" operator="between">
      <formula>0.5</formula>
      <formula>0.99</formula>
    </cfRule>
  </conditionalFormatting>
  <conditionalFormatting sqref="D4:D11">
    <cfRule type="cellIs" dxfId="3" priority="11" stopIfTrue="1" operator="lessThan">
      <formula>0.5</formula>
    </cfRule>
  </conditionalFormatting>
  <conditionalFormatting sqref="D4:D11">
    <cfRule type="cellIs" dxfId="1" priority="12" stopIfTrue="1" operator="greaterThanOrEqual">
      <formula>1</formula>
    </cfRule>
  </conditionalFormatting>
  <conditionalFormatting sqref="D4:D11">
    <cfRule type="cellIs" dxfId="2" priority="13" stopIfTrue="1" operator="between">
      <formula>0.5</formula>
      <formula>0.99</formula>
    </cfRule>
  </conditionalFormatting>
  <conditionalFormatting sqref="D4:D11">
    <cfRule type="cellIs" dxfId="3" priority="14" stopIfTrue="1" operator="lessThan">
      <formula>0.5</formula>
    </cfRule>
  </conditionalFormatting>
  <conditionalFormatting sqref="D4:D11">
    <cfRule type="cellIs" dxfId="1" priority="15" stopIfTrue="1" operator="greaterThanOrEqual">
      <formula>1</formula>
    </cfRule>
  </conditionalFormatting>
  <conditionalFormatting sqref="D4:D11">
    <cfRule type="cellIs" dxfId="2" priority="16" stopIfTrue="1" operator="between">
      <formula>0.5</formula>
      <formula>0.99</formula>
    </cfRule>
  </conditionalFormatting>
  <conditionalFormatting sqref="D4:D11">
    <cfRule type="cellIs" dxfId="3" priority="17" stopIfTrue="1" operator="lessThan">
      <formula>0.5</formula>
    </cfRule>
  </conditionalFormatting>
  <conditionalFormatting sqref="D4:D11">
    <cfRule type="cellIs" dxfId="1" priority="18" stopIfTrue="1" operator="greaterThanOrEqual">
      <formula>1</formula>
    </cfRule>
  </conditionalFormatting>
  <conditionalFormatting sqref="D4:D11">
    <cfRule type="cellIs" dxfId="2" priority="19" stopIfTrue="1" operator="between">
      <formula>0.5</formula>
      <formula>0.99</formula>
    </cfRule>
  </conditionalFormatting>
  <conditionalFormatting sqref="D4:D11">
    <cfRule type="cellIs" dxfId="3" priority="20" stopIfTrue="1" operator="lessThan">
      <formula>0.5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627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  <c r="AO1" s="17"/>
      <c r="AP1" s="17"/>
      <c r="AQ1" s="17"/>
      <c r="AR1" s="17"/>
      <c r="AS1" s="17"/>
      <c r="AT1" s="17"/>
      <c r="AU1" s="17"/>
      <c r="AV1" s="17"/>
      <c r="AW1" s="17"/>
      <c r="AX1" s="17"/>
      <c r="AY1" s="17"/>
      <c r="AZ1" s="17"/>
      <c r="BA1" s="17"/>
      <c r="BB1" s="17"/>
    </row>
    <row r="3">
      <c r="A3" s="17" t="str">
        <f>IFERROR(FILTER(Responses!A:BB, Responses!C:C&gt;=70, ROW(Responses!A:A)&gt;1), "Aucun hot lead trouvé")</f>
        <v>#ERROR!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628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</row>
    <row r="3">
      <c r="A3" s="19" t="str">
        <f>IFERROR(FILTER(Responses!A:BB, Responses!L:L="etranger", ROW(Responses!A:A)&gt;1), "Aucun membre diaspora trouvé")</f>
        <v>#ERROR!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</row>
  </sheetData>
  <drawing r:id="rId1"/>
</worksheet>
</file>